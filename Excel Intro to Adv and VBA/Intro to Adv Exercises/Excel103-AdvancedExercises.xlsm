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1" codeName="{E39A1632-A8E3-4493-0D71-6A188D42057B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bryandicarlo/Downloads/Kyle Pew Excel/"/>
    </mc:Choice>
  </mc:AlternateContent>
  <xr:revisionPtr revIDLastSave="0" documentId="13_ncr:1_{6D8D0B6C-E789-F34F-82C4-2B7330A565F0}" xr6:coauthVersionLast="47" xr6:coauthVersionMax="47" xr10:uidLastSave="{00000000-0000-0000-0000-000000000000}"/>
  <bookViews>
    <workbookView xWindow="39440" yWindow="760" windowWidth="36960" windowHeight="16440" firstSheet="9" activeTab="16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Master Inventory List" sheetId="23" r:id="rId6"/>
    <sheet name="INDEX MATCH Functions" sheetId="34" r:id="rId7"/>
    <sheet name="INDEX MATCH Master Emp List" sheetId="5" r:id="rId8"/>
    <sheet name="LEFT RIGHT MID Functions" sheetId="21" r:id="rId9"/>
    <sheet name="SEARCH Function" sheetId="24" r:id="rId10"/>
    <sheet name="CONCATENATE" sheetId="20" r:id="rId11"/>
    <sheet name="Formula Auditing" sheetId="25" r:id="rId12"/>
    <sheet name="Watch Window" sheetId="27" r:id="rId13"/>
    <sheet name="Worksheet Protection" sheetId="26" r:id="rId14"/>
    <sheet name="Goal Seek" sheetId="31" r:id="rId15"/>
    <sheet name="Solver" sheetId="30" r:id="rId16"/>
    <sheet name="Data Table" sheetId="28" r:id="rId17"/>
    <sheet name="Scenarios" sheetId="29" r:id="rId18"/>
    <sheet name="Macro" sheetId="37" r:id="rId19"/>
    <sheet name="Test Macro" sheetId="33" r:id="rId20"/>
  </sheets>
  <definedNames>
    <definedName name="_xlnm._FilterDatabase" localSheetId="7" hidden="1">'INDEX MATCH Master Emp List'!$A$1:$I$38</definedName>
    <definedName name="_xlnm._FilterDatabase" localSheetId="18" hidden="1">Macro!$A$1:$I$38</definedName>
    <definedName name="_xlnm._FilterDatabase" localSheetId="3" hidden="1">'Master Emp List'!$B$1:$I$38</definedName>
    <definedName name="_xlnm._FilterDatabase" localSheetId="1" hidden="1">'SUMIF Function'!$A$2:$E$272</definedName>
    <definedName name="_xlnm._FilterDatabase" localSheetId="19" hidden="1">'Test Macro'!$A$1:$I$38</definedName>
    <definedName name="Goal">'IF Function'!$I$2</definedName>
    <definedName name="Gross_Margin">#REF!</definedName>
    <definedName name="List">#REF!</definedName>
    <definedName name="solver_cvg" localSheetId="15" hidden="1">0.0001</definedName>
    <definedName name="solver_drv" localSheetId="15" hidden="1">1</definedName>
    <definedName name="solver_eng" localSheetId="0" hidden="1">1</definedName>
    <definedName name="solver_eng" localSheetId="15" hidden="1">1</definedName>
    <definedName name="solver_est" localSheetId="15" hidden="1">1</definedName>
    <definedName name="solver_itr" localSheetId="15" hidden="1">100</definedName>
    <definedName name="solver_lhs1" localSheetId="15" hidden="1">Solver!$B$8:$E$8</definedName>
    <definedName name="solver_lhs2" localSheetId="15" hidden="1">Solver!$B$8:$E$8</definedName>
    <definedName name="solver_lhs3" localSheetId="15" hidden="1">Solver!$B$8:$E$8</definedName>
    <definedName name="solver_lhs4" localSheetId="15" hidden="1">Solver!$B$8:$E$8</definedName>
    <definedName name="solver_lhs5" localSheetId="15" hidden="1">Solver!$B$8:$E$8</definedName>
    <definedName name="solver_lhs6" localSheetId="15" hidden="1">Solver!$E$8</definedName>
    <definedName name="solver_lhs7" localSheetId="15" hidden="1">Solver!$E$8</definedName>
    <definedName name="solver_lhs8" localSheetId="15" hidden="1">Solver!$E$8</definedName>
    <definedName name="solver_lin" localSheetId="15" hidden="1">0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0" hidden="1">1</definedName>
    <definedName name="solver_neg" localSheetId="15" hidden="1">1</definedName>
    <definedName name="solver_nod" localSheetId="15" hidden="1">2147483647</definedName>
    <definedName name="solver_num" localSheetId="0" hidden="1">0</definedName>
    <definedName name="solver_num" localSheetId="15" hidden="1">0</definedName>
    <definedName name="solver_nwt" localSheetId="15" hidden="1">1</definedName>
    <definedName name="solver_opt" localSheetId="0" hidden="1">'IF Function'!$I$2</definedName>
    <definedName name="solver_opt" localSheetId="15" hidden="1">Solver!$H$8</definedName>
    <definedName name="solver_pre" localSheetId="15" hidden="1">0.000001</definedName>
    <definedName name="solver_rbv" localSheetId="15" hidden="1">1</definedName>
    <definedName name="solver_rel1" localSheetId="15" hidden="1">2</definedName>
    <definedName name="solver_rel2" localSheetId="15" hidden="1">2</definedName>
    <definedName name="solver_rel3" localSheetId="15" hidden="1">2</definedName>
    <definedName name="solver_rel4" localSheetId="15" hidden="1">2</definedName>
    <definedName name="solver_rel5" localSheetId="15" hidden="1">2</definedName>
    <definedName name="solver_rel6" localSheetId="15" hidden="1">2</definedName>
    <definedName name="solver_rel7" localSheetId="15" hidden="1">2</definedName>
    <definedName name="solver_rel8" localSheetId="15" hidden="1">2</definedName>
    <definedName name="solver_rhs1" localSheetId="15" hidden="1">Solver!$B$10:$E$10</definedName>
    <definedName name="solver_rhs2" localSheetId="15" hidden="1">Solver!$B$10:$E$10</definedName>
    <definedName name="solver_rhs3" localSheetId="15" hidden="1">Solver!$B$10:$E$10</definedName>
    <definedName name="solver_rhs4" localSheetId="15" hidden="1">Solver!$B$10:$E$10</definedName>
    <definedName name="solver_rhs5" localSheetId="15" hidden="1">Solver!$B$10:$E$10</definedName>
    <definedName name="solver_rhs6" localSheetId="15" hidden="1">Solver!$E$10</definedName>
    <definedName name="solver_rhs7" localSheetId="15" hidden="1">Solver!$E$10</definedName>
    <definedName name="solver_rhs8" localSheetId="15" hidden="1">Solver!$E$10</definedName>
    <definedName name="solver_rlx" localSheetId="15" hidden="1">1</definedName>
    <definedName name="solver_rsd" localSheetId="15" hidden="1">0</definedName>
    <definedName name="solver_scl" localSheetId="15" hidden="1">2</definedName>
    <definedName name="solver_sho" localSheetId="15" hidden="1">2</definedName>
    <definedName name="solver_ssz" localSheetId="15" hidden="1">100</definedName>
    <definedName name="solver_tim" localSheetId="15" hidden="1">100</definedName>
    <definedName name="solver_tol" localSheetId="15" hidden="1">0.05</definedName>
    <definedName name="solver_typ" localSheetId="0" hidden="1">1</definedName>
    <definedName name="solver_typ" localSheetId="15" hidden="1">2</definedName>
    <definedName name="solver_val" localSheetId="0" hidden="1">0</definedName>
    <definedName name="solver_val" localSheetId="15" hidden="1">0</definedName>
    <definedName name="solver_ver" localSheetId="0" hidden="1">3</definedName>
    <definedName name="solver_ver" localSheetId="1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1" l="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4" i="20"/>
  <c r="B10" i="24" a="1"/>
  <c r="B10" i="24" s="1"/>
  <c r="B11" i="24" a="1"/>
  <c r="B11" i="24" s="1"/>
  <c r="B12" i="24" a="1"/>
  <c r="B12" i="24" s="1"/>
  <c r="B13" i="24" a="1"/>
  <c r="B13" i="24" s="1"/>
  <c r="B9" i="24" a="1"/>
  <c r="B9" i="24" s="1"/>
  <c r="C3" i="24"/>
  <c r="C4" i="24"/>
  <c r="C5" i="24"/>
  <c r="C6" i="24"/>
  <c r="C2" i="24"/>
  <c r="B3" i="24"/>
  <c r="B4" i="24"/>
  <c r="B5" i="24"/>
  <c r="B6" i="24"/>
  <c r="B2" i="24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4" i="21"/>
  <c r="B20" i="22"/>
  <c r="B21" i="22"/>
  <c r="B19" i="22"/>
  <c r="B13" i="22"/>
  <c r="B14" i="22"/>
  <c r="B12" i="22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23" i="1"/>
  <c r="J5" i="34"/>
  <c r="J6" i="34"/>
  <c r="J7" i="34"/>
  <c r="J8" i="34"/>
  <c r="J9" i="34"/>
  <c r="J4" i="34"/>
  <c r="I5" i="34"/>
  <c r="I6" i="34"/>
  <c r="I7" i="34"/>
  <c r="I8" i="34"/>
  <c r="I9" i="34"/>
  <c r="I4" i="34"/>
  <c r="H5" i="34"/>
  <c r="H6" i="34"/>
  <c r="H7" i="34"/>
  <c r="H8" i="34"/>
  <c r="H9" i="34"/>
  <c r="H4" i="34"/>
  <c r="G5" i="34"/>
  <c r="G6" i="34"/>
  <c r="G7" i="34"/>
  <c r="G8" i="34"/>
  <c r="G9" i="34"/>
  <c r="G4" i="34"/>
  <c r="F5" i="34"/>
  <c r="F6" i="34"/>
  <c r="F7" i="34"/>
  <c r="F8" i="34"/>
  <c r="F9" i="34"/>
  <c r="F4" i="34"/>
  <c r="D9" i="34"/>
  <c r="D8" i="34"/>
  <c r="D7" i="34"/>
  <c r="D6" i="34"/>
  <c r="D5" i="34"/>
  <c r="D4" i="34"/>
  <c r="C6" i="34"/>
  <c r="C5" i="34"/>
  <c r="C4" i="34"/>
  <c r="B7" i="22"/>
  <c r="B6" i="22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3" i="1"/>
  <c r="E12" i="1"/>
  <c r="E4" i="1"/>
  <c r="E5" i="1"/>
  <c r="E6" i="1"/>
  <c r="E7" i="1"/>
  <c r="E8" i="1"/>
  <c r="E9" i="1"/>
  <c r="E10" i="1"/>
  <c r="E11" i="1"/>
  <c r="E13" i="1"/>
  <c r="E14" i="1"/>
  <c r="E15" i="1"/>
  <c r="E16" i="1"/>
  <c r="E17" i="1"/>
  <c r="E18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H5" i="17"/>
  <c r="H3" i="17"/>
  <c r="C10" i="4"/>
  <c r="D10" i="4"/>
  <c r="E10" i="4"/>
  <c r="B10" i="4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I7" i="25" s="1"/>
  <c r="F6" i="25"/>
  <c r="H6" i="25" s="1"/>
  <c r="I6" i="25" s="1"/>
  <c r="F5" i="25"/>
  <c r="H5" i="25" s="1"/>
  <c r="B5" i="22"/>
  <c r="F7" i="4"/>
  <c r="H7" i="4" s="1"/>
  <c r="I7" i="4" s="1"/>
  <c r="E3" i="20"/>
  <c r="F5" i="4"/>
  <c r="F6" i="4"/>
  <c r="H6" i="4" s="1"/>
  <c r="I6" i="4" s="1"/>
  <c r="F8" i="4"/>
  <c r="H8" i="4" s="1"/>
  <c r="I8" i="4" s="1"/>
  <c r="F9" i="4"/>
  <c r="H9" i="4" s="1"/>
  <c r="I9" i="4" s="1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3" i="21"/>
  <c r="E3" i="21"/>
  <c r="I5" i="17" l="1"/>
  <c r="F10" i="4"/>
  <c r="H5" i="4"/>
  <c r="I3" i="17"/>
  <c r="F7" i="29"/>
  <c r="F10" i="25"/>
  <c r="B2" i="27" s="1"/>
  <c r="G3" i="29"/>
  <c r="E7" i="29"/>
  <c r="G4" i="29"/>
  <c r="F10" i="26"/>
  <c r="F12" i="26" s="1"/>
  <c r="H5" i="26"/>
  <c r="F14" i="25"/>
  <c r="I5" i="25"/>
  <c r="F12" i="25"/>
  <c r="I5" i="4" l="1"/>
  <c r="F12" i="4"/>
  <c r="G7" i="29"/>
  <c r="F14" i="26"/>
  <c r="I5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<sst xmlns="http://schemas.openxmlformats.org/spreadsheetml/2006/main" count="1586" uniqueCount="300">
  <si>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</si>
  <si>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</si>
  <si>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</si>
  <si>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</si>
  <si>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</si>
  <si>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</si>
  <si>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</si>
  <si>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</si>
  <si>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</si>
  <si>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</si>
  <si>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</si>
  <si>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</si>
  <si>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</si>
  <si>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</si>
  <si>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</si>
  <si>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</si>
  <si>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</si>
  <si>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</si>
  <si>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</si>
  <si>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</si>
  <si>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</si>
  <si>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</si>
  <si>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</si>
  <si>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</si>
  <si>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</si>
  <si>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</si>
  <si>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</si>
  <si>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</si>
  <si>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</si>
  <si>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</si>
  <si>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</si>
  <si>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</si>
  <si>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</si>
  <si>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</si>
  <si>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</si>
  <si>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</si>
  <si>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</si>
  <si>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</si>
  <si>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</si>
  <si>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</si>
  <si>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</si>
  <si>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</si>
  <si>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</si>
  <si>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</si>
  <si>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</si>
  <si>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</si>
  <si>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</si>
  <si>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</si>
  <si>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</si>
  <si>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</si>
  <si>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</si>
  <si>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</si>
  <si>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</si>
  <si>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</si>
  <si>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</si>
  <si>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</si>
  <si>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</si>
  <si>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</si>
  <si>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</si>
  <si>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</si>
  <si>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</si>
  <si>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</si>
  <si>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</si>
  <si>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</si>
  <si>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</si>
  <si>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</si>
  <si>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</si>
  <si>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</si>
  <si>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</si>
  <si>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</si>
  <si>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</si>
  <si>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</si>
  <si>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</si>
  <si>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</si>
  <si>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</si>
  <si>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</si>
  <si>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</si>
  <si>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</si>
  <si>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</si>
  <si>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</si>
  <si>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</si>
  <si>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</si>
  <si>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</si>
  <si>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</si>
  <si>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</si>
  <si>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</si>
  <si>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</si>
  <si>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</si>
  <si>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</si>
  <si>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</si>
  <si>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</si>
  <si>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</si>
  <si>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</si>
  <si>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</si>
  <si>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</si>
  <si>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</si>
  <si>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</si>
  <si>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</si>
  <si>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</si>
  <si>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</si>
  <si>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</si>
  <si>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</si>
  <si>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</si>
  <si>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</si>
  <si>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</si>
  <si>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</si>
  <si>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</si>
  <si>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</si>
  <si>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</si>
  <si>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</si>
  <si>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</si>
  <si>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</si>
  <si>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</si>
  <si>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</si>
  <si>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</si>
  <si>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</si>
  <si>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</si>
  <si>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</si>
  <si>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</si>
  <si>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</si>
  <si>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</si>
  <si>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</si>
  <si>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</si>
  <si>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</si>
  <si>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</si>
  <si>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</si>
  <si>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</si>
  <si>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</si>
  <si>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</si>
  <si>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</si>
  <si>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</si>
  <si>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</si>
  <si>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</si>
  <si>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</si>
  <si>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</si>
  <si>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</si>
  <si>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</si>
  <si>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</si>
  <si>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</si>
  <si>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</si>
  <si>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</si>
  <si>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</si>
  <si>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</si>
  <si>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</si>
  <si>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</si>
  <si>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</si>
  <si>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</si>
  <si>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</si>
  <si>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</si>
  <si>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</si>
  <si>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</si>
  <si>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</si>
  <si>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</si>
  <si>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</si>
  <si>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</si>
  <si>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</si>
  <si>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</si>
  <si>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</si>
  <si>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</si>
  <si>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</si>
  <si>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</si>
  <si>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</si>
  <si>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</si>
  <si>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</si>
  <si>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</si>
  <si>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</si>
  <si>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</si>
  <si>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</si>
  <si>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</si>
  <si>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</si>
  <si>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</si>
  <si>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</si>
  <si>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</si>
  <si>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</si>
  <si>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</si>
  <si>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</si>
  <si>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</si>
  <si>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</si>
  <si>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</si>
  <si>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</si>
  <si>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</si>
  <si>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</si>
  <si>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</si>
  <si>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</si>
  <si>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</si>
  <si>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</si>
  <si>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</si>
  <si>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</si>
  <si>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</si>
  <si>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</si>
  <si>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</si>
  <si>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</si>
  <si>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</si>
  <si>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</si>
  <si>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</si>
  <si>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</si>
  <si>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</si>
  <si>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</si>
  <si>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</si>
  <si>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</si>
  <si>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</si>
  <si>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</si>
  <si>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</si>
  <si>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</si>
  <si>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</si>
  <si>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</si>
  <si>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</si>
  <si>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</si>
  <si>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</si>
  <si>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</si>
  <si>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</si>
  <si>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</si>
  <si>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</si>
  <si>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</si>
  <si>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</si>
  <si>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</si>
  <si>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</si>
  <si>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</si>
  <si>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</si>
  <si>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</si>
  <si>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</si>
  <si>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</si>
  <si>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</si>
  <si>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</si>
  <si>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</si>
  <si>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</si>
  <si>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</si>
  <si>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</si>
  <si>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</si>
  <si>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</si>
  <si>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</si>
  <si>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</si>
  <si>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</si>
  <si>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</si>
  <si>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</si>
  <si>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</si>
  <si>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</si>
  <si>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</si>
  <si>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</si>
  <si>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</si>
  <si>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</si>
  <si>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</si>
  <si>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</si>
  <si>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</si>
  <si>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</si>
  <si>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</si>
  <si>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</si>
  <si>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</si>
  <si>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</si>
  <si>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</si>
  <si>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</si>
  <si>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</si>
  <si>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</si>
  <si>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</si>
  <si>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</si>
  <si>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</si>
  <si>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</si>
  <si>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</si>
  <si>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</si>
  <si>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</si>
  <si>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</si>
  <si>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</si>
  <si>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</si>
  <si>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</si>
  <si>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</si>
  <si>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</si>
  <si>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</si>
  <si>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</si>
  <si>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</si>
  <si>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</si>
  <si>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</si>
  <si>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</si>
  <si>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</si>
  <si>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</si>
  <si>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</si>
  <si>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</si>
  <si>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</si>
  <si>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</si>
  <si>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</si>
  <si>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</si>
  <si>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</si>
  <si>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</si>
  <si>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</si>
  <si>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</si>
  <si>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For Department</t>
  </si>
  <si>
    <t>For Hire Date</t>
  </si>
  <si>
    <t>For Last Name</t>
  </si>
  <si>
    <t>For Building</t>
  </si>
  <si>
    <t>For Pay Rate</t>
  </si>
  <si>
    <t>Using VLOOKUP</t>
  </si>
  <si>
    <t>Using INDEX and MATCH</t>
  </si>
  <si>
    <t>With HLOOKUP and static row reference</t>
  </si>
  <si>
    <t>With HLOOKUP and dynamic row ref</t>
  </si>
  <si>
    <t>Using MATCH and left</t>
  </si>
  <si>
    <t>Using LEFT,RIGHT,SEARCH and LEN</t>
  </si>
  <si>
    <t>Using TEXTSPLIT()</t>
  </si>
  <si>
    <t>Department</t>
  </si>
  <si>
    <t>Email</t>
  </si>
  <si>
    <t>Extention</t>
  </si>
  <si>
    <t>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</si>
</sst>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_);[Red]\(0.00\)"/>
    <numFmt numFmtId="166" formatCode="dd\-mmm\-yy"/>
    <numFmt numFmtId="167" formatCode="&quot;$&quot;#,##0.00;\(&quot;$&quot;#,##0.00\)"/>
    <numFmt numFmtId="168" formatCode="[$-409]d\-mmm\-yyyy;@"/>
    <numFmt numFmtId="169" formatCode="&quot;$&quot;#,##0.00"/>
    <numFmt numFmtId="170" formatCode="[$-409]d\-mmm\-yy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4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43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43">
    <xf numFmtId="0" fontId="0" fillId="0" borderId="0" xfId="0"/>
    <xf numFmtId="165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Border="1" applyAlignment="1">
      <alignment horizontal="center" vertical="center" wrapText="1"/>
    </xf>
    <xf numFmtId="166" fontId="6" fillId="0" borderId="1" xfId="5" applyNumberFormat="1" applyBorder="1" applyAlignment="1">
      <alignment horizontal="center" vertical="center" wrapText="1"/>
    </xf>
    <xf numFmtId="44" fontId="0" fillId="0" borderId="0" xfId="1" applyFont="1"/>
    <xf numFmtId="0" fontId="6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44" fontId="0" fillId="0" borderId="3" xfId="1" applyFont="1" applyBorder="1" applyAlignment="1">
      <alignment horizontal="center"/>
    </xf>
    <xf numFmtId="0" fontId="6" fillId="0" borderId="10" xfId="5" applyBorder="1" applyAlignment="1">
      <alignment horizontal="center" vertical="center" wrapText="1"/>
    </xf>
    <xf numFmtId="164" fontId="0" fillId="0" borderId="3" xfId="1" applyNumberFormat="1" applyFont="1" applyBorder="1" applyAlignment="1">
      <alignment horizontal="left"/>
    </xf>
    <xf numFmtId="164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4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Border="1" applyAlignment="1">
      <alignment horizontal="left" wrapText="1"/>
    </xf>
    <xf numFmtId="0" fontId="6" fillId="0" borderId="3" xfId="6" applyBorder="1" applyAlignment="1">
      <alignment horizontal="left"/>
    </xf>
    <xf numFmtId="167" fontId="6" fillId="0" borderId="3" xfId="6" applyNumberFormat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5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Alignment="1">
      <alignment horizontal="center"/>
    </xf>
    <xf numFmtId="167" fontId="6" fillId="0" borderId="0" xfId="6" applyNumberFormat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44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164" fontId="0" fillId="0" borderId="20" xfId="1" applyNumberFormat="1" applyFont="1" applyBorder="1" applyAlignment="1">
      <alignment horizontal="left"/>
    </xf>
    <xf numFmtId="164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4" fontId="0" fillId="9" borderId="3" xfId="0" applyNumberForma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44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3" fillId="8" borderId="0" xfId="0" applyFont="1" applyFill="1"/>
    <xf numFmtId="0" fontId="17" fillId="8" borderId="0" xfId="0" applyFont="1" applyFill="1"/>
    <xf numFmtId="164" fontId="0" fillId="0" borderId="3" xfId="1" applyNumberFormat="1" applyFont="1" applyBorder="1" applyAlignment="1" applyProtection="1">
      <alignment horizontal="left"/>
      <protection locked="0"/>
    </xf>
    <xf numFmtId="164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8" fontId="1" fillId="0" borderId="0" xfId="9" applyNumberFormat="1"/>
    <xf numFmtId="8" fontId="2" fillId="2" borderId="3" xfId="1" applyNumberFormat="1" applyFont="1" applyFill="1" applyBorder="1" applyAlignment="1"/>
    <xf numFmtId="1" fontId="1" fillId="0" borderId="0" xfId="9" applyNumberFormat="1"/>
    <xf numFmtId="1" fontId="2" fillId="0" borderId="0" xfId="9" applyNumberFormat="1" applyFont="1"/>
    <xf numFmtId="1" fontId="2" fillId="0" borderId="3" xfId="1" applyNumberFormat="1" applyFont="1" applyFill="1" applyBorder="1" applyAlignment="1"/>
    <xf numFmtId="1" fontId="2" fillId="0" borderId="3" xfId="9" applyNumberFormat="1" applyFont="1" applyBorder="1"/>
    <xf numFmtId="1" fontId="1" fillId="0" borderId="3" xfId="9" applyNumberFormat="1" applyBorder="1"/>
    <xf numFmtId="1" fontId="3" fillId="10" borderId="3" xfId="9" applyNumberFormat="1" applyFont="1" applyFill="1" applyBorder="1" applyAlignment="1">
      <alignment horizontal="center"/>
    </xf>
    <xf numFmtId="44" fontId="1" fillId="0" borderId="3" xfId="1" applyBorder="1"/>
    <xf numFmtId="44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Border="1"/>
    <xf numFmtId="1" fontId="1" fillId="0" borderId="0" xfId="9" applyNumberForma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4" fontId="1" fillId="9" borderId="3" xfId="1" applyNumberFormat="1" applyFont="1" applyFill="1" applyBorder="1" applyAlignment="1">
      <alignment horizontal="center"/>
    </xf>
    <xf numFmtId="0" fontId="1" fillId="9" borderId="3" xfId="9" applyFill="1" applyBorder="1" applyAlignment="1">
      <alignment horizontal="center"/>
    </xf>
    <xf numFmtId="8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44" fontId="3" fillId="11" borderId="3" xfId="9" applyNumberFormat="1" applyFont="1" applyFill="1" applyBorder="1"/>
    <xf numFmtId="1" fontId="3" fillId="11" borderId="3" xfId="9" applyNumberFormat="1" applyFont="1" applyFill="1" applyBorder="1" applyAlignment="1">
      <alignment horizontal="center"/>
    </xf>
    <xf numFmtId="164" fontId="1" fillId="11" borderId="3" xfId="1" applyNumberFormat="1" applyFont="1" applyFill="1" applyBorder="1" applyAlignment="1">
      <alignment horizontal="center"/>
    </xf>
    <xf numFmtId="9" fontId="1" fillId="11" borderId="3" xfId="9" applyNumberFormat="1" applyFill="1" applyBorder="1" applyAlignment="1">
      <alignment horizontal="center"/>
    </xf>
    <xf numFmtId="0" fontId="1" fillId="11" borderId="3" xfId="9" applyFill="1" applyBorder="1" applyAlignment="1">
      <alignment horizontal="center"/>
    </xf>
    <xf numFmtId="8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Border="1" applyAlignment="1">
      <alignment horizontal="center"/>
    </xf>
    <xf numFmtId="8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Alignment="1">
      <alignment horizontal="center" vertical="center"/>
    </xf>
    <xf numFmtId="168" fontId="0" fillId="0" borderId="3" xfId="0" applyNumberFormat="1" applyBorder="1"/>
    <xf numFmtId="0" fontId="1" fillId="0" borderId="0" xfId="0" applyFont="1"/>
    <xf numFmtId="0" fontId="1" fillId="0" borderId="0" xfId="7" applyFont="1"/>
    <xf numFmtId="164" fontId="0" fillId="0" borderId="3" xfId="1" applyNumberFormat="1" applyFont="1" applyBorder="1" applyAlignment="1" applyProtection="1">
      <alignment horizontal="left"/>
    </xf>
    <xf numFmtId="164" fontId="0" fillId="0" borderId="20" xfId="1" applyNumberFormat="1" applyFont="1" applyBorder="1" applyAlignment="1" applyProtection="1">
      <alignment horizontal="left"/>
    </xf>
    <xf numFmtId="10" fontId="1" fillId="9" borderId="3" xfId="9" applyNumberFormat="1" applyFill="1" applyBorder="1" applyAlignment="1">
      <alignment horizontal="center"/>
    </xf>
    <xf numFmtId="0" fontId="20" fillId="6" borderId="0" xfId="0" applyFont="1" applyFill="1"/>
    <xf numFmtId="169" fontId="20" fillId="6" borderId="0" xfId="8" applyNumberFormat="1" applyFont="1" applyFill="1" applyAlignment="1"/>
    <xf numFmtId="169" fontId="0" fillId="0" borderId="0" xfId="8" applyNumberFormat="1" applyFont="1" applyAlignment="1"/>
    <xf numFmtId="170" fontId="20" fillId="6" borderId="0" xfId="0" applyNumberFormat="1" applyFont="1" applyFill="1"/>
    <xf numFmtId="170" fontId="6" fillId="0" borderId="1" xfId="5" applyNumberFormat="1" applyBorder="1" applyAlignment="1">
      <alignment horizontal="center" vertical="center" wrapText="1"/>
    </xf>
    <xf numFmtId="170" fontId="0" fillId="0" borderId="0" xfId="0" applyNumberFormat="1"/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16" fillId="8" borderId="33" xfId="7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3" xfId="9" applyFont="1" applyFill="1" applyBorder="1" applyAlignment="1">
      <alignment horizont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="145" zoomScaleNormal="145" workbookViewId="0">
      <selection activeCell="F12" sqref="F12"/>
    </sheetView>
  </sheetViews>
  <sheetFormatPr baseColWidth="10" defaultColWidth="8.83203125" defaultRowHeight="13"/>
  <cols>
    <col min="1" max="1" width="15.5" customWidth="1"/>
    <col min="2" max="2" width="11.33203125" customWidth="1"/>
    <col min="3" max="3" width="11.5" customWidth="1"/>
    <col min="4" max="4" width="11.83203125" customWidth="1"/>
    <col min="5" max="5" width="11.6640625" bestFit="1" customWidth="1"/>
    <col min="6" max="6" width="11.33203125" customWidth="1"/>
    <col min="7" max="7" width="1.1640625" customWidth="1"/>
    <col min="8" max="8" width="20.1640625" customWidth="1"/>
    <col min="9" max="9" width="15.83203125" customWidth="1"/>
  </cols>
  <sheetData>
    <row r="1" spans="1:9" ht="14" thickBot="1"/>
    <row r="2" spans="1:9" ht="17" thickBot="1">
      <c r="A2" s="135" t="s">
        <v>280</v>
      </c>
      <c r="B2" s="135"/>
      <c r="C2" s="135"/>
      <c r="D2" s="135"/>
      <c r="E2" s="135"/>
      <c r="F2" s="135"/>
      <c r="H2" s="28" t="s">
        <v>0</v>
      </c>
      <c r="I2" s="45">
        <v>34000</v>
      </c>
    </row>
    <row r="3" spans="1:9" ht="1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6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IF(F5&gt;=Goal,"Yes","No")</f>
        <v>Yes</v>
      </c>
      <c r="I5" s="2" t="str">
        <f>IF(AND(H5="Yes",MIN(B5:F5)&gt;=8000),"Bonus","No Bonus")</f>
        <v>Bonus</v>
      </c>
    </row>
    <row r="6" spans="1:9" ht="16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IF(F6&gt;=Goal,"Yes","No")</f>
        <v>No</v>
      </c>
      <c r="I6" s="2" t="str">
        <f>IF(AND(H6="Yes",MIN(B6:F6)&gt;=8000),"Bonus","No Bonus")</f>
        <v>No Bonus</v>
      </c>
    </row>
    <row r="7" spans="1:9" ht="16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IF(F7&gt;=Goal,"Yes","No")</f>
        <v>No</v>
      </c>
      <c r="I7" s="2" t="str">
        <f>IF(AND(H7="Yes",MIN(B7:F7)&gt;=8000),"Bonus","No Bonus")</f>
        <v>No Bonus</v>
      </c>
    </row>
    <row r="8" spans="1:9" ht="16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IF(F8&gt;=Goal,"Yes","No")</f>
        <v>Yes</v>
      </c>
      <c r="I8" s="2" t="str">
        <f>IF(AND(H8="Yes",MIN(B8:F8)&gt;=8000),"Bonus","No Bonus")</f>
        <v>Bonus</v>
      </c>
    </row>
    <row r="9" spans="1:9" ht="17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>IF(F9&gt;=Goal,"Yes","No")</f>
        <v>Yes</v>
      </c>
      <c r="I9" s="2" t="str">
        <f>IF(AND(H9="Yes",MIN(B9:F9)&gt;=8000),"Bonus","No Bonus")</f>
        <v>No Bonus</v>
      </c>
    </row>
    <row r="10" spans="1:9" ht="14">
      <c r="A10" s="48" t="s">
        <v>223</v>
      </c>
      <c r="B10" s="53">
        <f>SUM(B5:B9)</f>
        <v>40402</v>
      </c>
      <c r="C10" s="53">
        <f>SUM(C5:C9)</f>
        <v>42555</v>
      </c>
      <c r="D10" s="53">
        <f>SUM(D5:D9)</f>
        <v>46630</v>
      </c>
      <c r="E10" s="53">
        <f>SUM(E5:E9)</f>
        <v>46624</v>
      </c>
      <c r="F10" s="53">
        <f>SUM(F5:F9)</f>
        <v>176211</v>
      </c>
    </row>
    <row r="11" spans="1:9" ht="14">
      <c r="A11" s="49"/>
    </row>
    <row r="12" spans="1:9" ht="16.5" customHeight="1">
      <c r="A12" s="132" t="s">
        <v>13</v>
      </c>
      <c r="B12" s="133"/>
      <c r="C12" s="133"/>
      <c r="D12" s="133"/>
      <c r="E12" s="134"/>
      <c r="F12" s="3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30" zoomScaleNormal="130" workbookViewId="0">
      <selection activeCell="I5" sqref="I5"/>
    </sheetView>
  </sheetViews>
  <sheetFormatPr baseColWidth="10" defaultColWidth="9.1640625" defaultRowHeight="13"/>
  <cols>
    <col min="1" max="1" width="13.33203125" style="18" bestFit="1" customWidth="1"/>
    <col min="2" max="2" width="14.5" style="18" bestFit="1" customWidth="1"/>
    <col min="3" max="3" width="12" style="18" customWidth="1"/>
    <col min="4" max="4" width="12.5" style="18" bestFit="1" customWidth="1"/>
    <col min="5" max="5" width="12.1640625" style="18" bestFit="1" customWidth="1"/>
    <col min="6" max="6" width="9.1640625" style="18"/>
    <col min="7" max="7" width="13.6640625" style="18" customWidth="1"/>
    <col min="8" max="9" width="12.6640625" style="18" bestFit="1" customWidth="1"/>
    <col min="10" max="16384" width="9.1640625" style="18"/>
  </cols>
  <sheetData>
    <row r="2" spans="1:9" ht="16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6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SUMIF(B3:B272,3000,E3:E272)</f>
        <v>17538</v>
      </c>
      <c r="I3" s="27">
        <f>SUMIF(B3:B272,3000,D3:D272)</f>
        <v>491064</v>
      </c>
    </row>
    <row r="4" spans="1:9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6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SUMIF(C3:C272,$G$5,E3:E272)</f>
        <v>7357</v>
      </c>
      <c r="I5" s="27">
        <f>SUMIF(C3:C272,$G$5,D3:D272)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H38"/>
  <sheetViews>
    <sheetView showGridLines="0" topLeftCell="A7" zoomScale="130" zoomScaleNormal="130" workbookViewId="0">
      <selection activeCell="C23" sqref="C23:F38"/>
    </sheetView>
  </sheetViews>
  <sheetFormatPr baseColWidth="10" defaultColWidth="8.83203125" defaultRowHeight="13"/>
  <cols>
    <col min="1" max="1" width="3.5" customWidth="1"/>
    <col min="2" max="2" width="7.5" bestFit="1" customWidth="1"/>
    <col min="3" max="6" width="15.5" bestFit="1" customWidth="1"/>
    <col min="7" max="7" width="3.1640625" customWidth="1"/>
  </cols>
  <sheetData>
    <row r="1" spans="2:8" ht="14" thickBot="1"/>
    <row r="2" spans="2:8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19"/>
    </row>
    <row r="3" spans="2:8">
      <c r="B3" s="10">
        <v>1054</v>
      </c>
      <c r="C3" s="11" t="str">
        <f>IFERROR(VLOOKUP($B3,'Master Emp List'!$A$1:$I$38,3,FALSE),"Emp ID Not Found")</f>
        <v>Howard</v>
      </c>
      <c r="D3" s="11" t="str">
        <f>IFERROR(VLOOKUP(B3,'Master Emp List'!A1:I38,2,FALSE),"Emp ID Not Found")</f>
        <v>Smith</v>
      </c>
      <c r="E3" s="11" t="str">
        <f>IFERROR(VLOOKUP(B3,'Master Emp List'!$A$1:$I$38,4,FALSE),"Emp ID Not Found")</f>
        <v>AT</v>
      </c>
      <c r="F3" s="11">
        <f>IFERROR(VLOOKUP(B3,'Master Emp List'!A1:I38,9,FALSE),"Emp ID Not Found")</f>
        <v>11.25</v>
      </c>
      <c r="G3" s="66"/>
    </row>
    <row r="4" spans="2:8">
      <c r="B4" s="10">
        <v>1056</v>
      </c>
      <c r="C4" s="11" t="str">
        <f>IFERROR(VLOOKUP($B4,'Master Emp List'!$A$1:$I$38,3,FALSE),"Emp ID Not Found")</f>
        <v>Joe</v>
      </c>
      <c r="D4" s="11" t="str">
        <f>IFERROR(VLOOKUP(B4,'Master Emp List'!A2:I39,2,FALSE),"Emp ID Not Found")</f>
        <v>Gonzales</v>
      </c>
      <c r="E4" s="11" t="str">
        <f>IFERROR(VLOOKUP(B4,'Master Emp List'!$A$1:$I$38,4,FALSE),"Emp ID Not Found")</f>
        <v>AT</v>
      </c>
      <c r="F4" s="11">
        <f>IFERROR(VLOOKUP(B4,'Master Emp List'!A2:I39,9,FALSE),"Emp ID Not Found")</f>
        <v>12.25</v>
      </c>
      <c r="G4" s="66"/>
    </row>
    <row r="5" spans="2:8">
      <c r="B5" s="10">
        <v>1067</v>
      </c>
      <c r="C5" s="11" t="str">
        <f>IFERROR(VLOOKUP($B5,'Master Emp List'!$A$1:$I$38,3,FALSE),"Emp ID Not Found")</f>
        <v>Gail</v>
      </c>
      <c r="D5" s="11" t="str">
        <f>IFERROR(VLOOKUP(B5,'Master Emp List'!A3:I40,2,FALSE),"Emp ID Not Found")</f>
        <v>Scote</v>
      </c>
      <c r="E5" s="11" t="str">
        <f>IFERROR(VLOOKUP(B5,'Master Emp List'!$A$1:$I$38,4,FALSE),"Emp ID Not Found")</f>
        <v>AT</v>
      </c>
      <c r="F5" s="11">
        <f>IFERROR(VLOOKUP(B5,'Master Emp List'!A3:I40,9,FALSE),"Emp ID Not Found")</f>
        <v>14.55</v>
      </c>
      <c r="G5" s="66"/>
    </row>
    <row r="6" spans="2:8">
      <c r="B6" s="10">
        <v>1075</v>
      </c>
      <c r="C6" s="11" t="str">
        <f>IFERROR(VLOOKUP($B6,'Master Emp List'!$A$1:$I$38,3,FALSE),"Emp ID Not Found")</f>
        <v>Sheryl</v>
      </c>
      <c r="D6" s="11" t="str">
        <f>IFERROR(VLOOKUP(B6,'Master Emp List'!A4:I41,2,FALSE),"Emp ID Not Found")</f>
        <v>Kane</v>
      </c>
      <c r="E6" s="11" t="str">
        <f>IFERROR(VLOOKUP(B6,'Master Emp List'!$A$1:$I$38,4,FALSE),"Emp ID Not Found")</f>
        <v>AD</v>
      </c>
      <c r="F6" s="11">
        <f>IFERROR(VLOOKUP(B6,'Master Emp List'!A4:I41,9,FALSE),"Emp ID Not Found")</f>
        <v>11.25</v>
      </c>
      <c r="G6" s="66"/>
    </row>
    <row r="7" spans="2:8">
      <c r="B7" s="10">
        <v>1078</v>
      </c>
      <c r="C7" s="11" t="str">
        <f>IFERROR(VLOOKUP($B7,'Master Emp List'!$A$1:$I$38,3,FALSE),"Emp ID Not Found")</f>
        <v>Kendrick</v>
      </c>
      <c r="D7" s="11" t="str">
        <f>IFERROR(VLOOKUP(B7,'Master Emp List'!A5:I42,2,FALSE),"Emp ID Not Found")</f>
        <v>Hapsbuch</v>
      </c>
      <c r="E7" s="11" t="str">
        <f>IFERROR(VLOOKUP(B7,'Master Emp List'!$A$1:$I$38,4,FALSE),"Emp ID Not Found")</f>
        <v>AC</v>
      </c>
      <c r="F7" s="11">
        <f>IFERROR(VLOOKUP(B7,'Master Emp List'!A5:I42,9,FALSE),"Emp ID Not Found")</f>
        <v>10.199999999999999</v>
      </c>
      <c r="G7" s="66"/>
      <c r="H7" s="121" t="s">
        <v>289</v>
      </c>
    </row>
    <row r="8" spans="2:8">
      <c r="B8" s="10">
        <v>1152</v>
      </c>
      <c r="C8" s="11" t="str">
        <f>IFERROR(VLOOKUP($B8,'Master Emp List'!$A$1:$I$38,3,FALSE),"Emp ID Not Found")</f>
        <v>Mark</v>
      </c>
      <c r="D8" s="11" t="str">
        <f>IFERROR(VLOOKUP(B8,'Master Emp List'!A6:I43,2,FALSE),"Emp ID Not Found")</f>
        <v>Henders</v>
      </c>
      <c r="E8" s="11" t="str">
        <f>IFERROR(VLOOKUP(B8,'Master Emp List'!$A$1:$I$38,4,FALSE),"Emp ID Not Found")</f>
        <v>AD</v>
      </c>
      <c r="F8" s="11">
        <f>IFERROR(VLOOKUP(B8,'Master Emp List'!A6:I43,9,FALSE),"Emp ID Not Found")</f>
        <v>12.25</v>
      </c>
      <c r="G8" s="66"/>
    </row>
    <row r="9" spans="2:8">
      <c r="B9" s="10">
        <v>1196</v>
      </c>
      <c r="C9" s="11" t="str">
        <f>IFERROR(VLOOKUP($B9,'Master Emp List'!$A$1:$I$38,3,FALSE),"Emp ID Not Found")</f>
        <v>Katie</v>
      </c>
      <c r="D9" s="11" t="str">
        <f>IFERROR(VLOOKUP(B9,'Master Emp List'!A7:I44,2,FALSE),"Emp ID Not Found")</f>
        <v>Atherton</v>
      </c>
      <c r="E9" s="11" t="str">
        <f>IFERROR(VLOOKUP(B9,'Master Emp List'!$A$1:$I$38,4,FALSE),"Emp ID Not Found")</f>
        <v>HR</v>
      </c>
      <c r="F9" s="11">
        <f>IFERROR(VLOOKUP(B9,'Master Emp List'!A7:I44,9,FALSE),"Emp ID Not Found")</f>
        <v>9.9499999999999993</v>
      </c>
      <c r="G9" s="66"/>
    </row>
    <row r="10" spans="2:8">
      <c r="B10" s="10">
        <v>1284</v>
      </c>
      <c r="C10" s="11" t="str">
        <f>IFERROR(VLOOKUP($B10,'Master Emp List'!$A$1:$I$38,3,FALSE),"Emp ID Not Found")</f>
        <v>Frank</v>
      </c>
      <c r="D10" s="11" t="str">
        <f>IFERROR(VLOOKUP(B10,'Master Emp List'!A8:I45,2,FALSE),"Emp ID Not Found")</f>
        <v>Bellwood</v>
      </c>
      <c r="E10" s="11" t="str">
        <f>IFERROR(VLOOKUP(B10,'Master Emp List'!$A$1:$I$38,4,FALSE),"Emp ID Not Found")</f>
        <v>MK</v>
      </c>
      <c r="F10" s="11">
        <f>IFERROR(VLOOKUP(B10,'Master Emp List'!A8:I45,9,FALSE),"Emp ID Not Found")</f>
        <v>12.3</v>
      </c>
      <c r="G10" s="66"/>
    </row>
    <row r="11" spans="2:8">
      <c r="B11" s="10"/>
      <c r="C11" s="11" t="str">
        <f>IFERROR(VLOOKUP($B11,'Master Emp List'!$A$1:$I$38,3,FALSE),"Emp ID Not Found")</f>
        <v>Emp ID Not Found</v>
      </c>
      <c r="D11" s="11" t="str">
        <f>IFERROR(VLOOKUP(B11,'Master Emp List'!A9:I46,2,FALSE),"Emp ID Not Found")</f>
        <v>Emp ID Not Found</v>
      </c>
      <c r="E11" s="11" t="str">
        <f>IFERROR(VLOOKUP(B11,'Master Emp List'!$A$1:$I$38,4,FALSE),"Emp ID Not Found")</f>
        <v>Emp ID Not Found</v>
      </c>
      <c r="F11" s="11" t="str">
        <f>IFERROR(VLOOKUP(B11,'Master Emp List'!A9:I46,9,FALSE),"Emp ID Not Found")</f>
        <v>Emp ID Not Found</v>
      </c>
      <c r="G11" s="66"/>
    </row>
    <row r="12" spans="2:8">
      <c r="B12" s="10"/>
      <c r="C12" s="11" t="str">
        <f>IFERROR(VLOOKUP($B12,'Master Emp List'!$A$1:$I$38,3,FALSE),"Emp ID Not Found")</f>
        <v>Emp ID Not Found</v>
      </c>
      <c r="D12" s="11" t="str">
        <f>IFERROR(VLOOKUP(B12,'Master Emp List'!A10:I47,2,FALSE),"Emp ID Not Found")</f>
        <v>Emp ID Not Found</v>
      </c>
      <c r="E12" s="11" t="str">
        <f>IFERROR(VLOOKUP(B12,'Master Emp List'!$A$1:$I$38,4,FALSE),"Emp ID Not Found")</f>
        <v>Emp ID Not Found</v>
      </c>
      <c r="F12" s="11" t="str">
        <f>IFERROR(VLOOKUP(B12,'Master Emp List'!A10:I47,9,FALSE),"Emp ID Not Found")</f>
        <v>Emp ID Not Found</v>
      </c>
      <c r="G12" s="66"/>
    </row>
    <row r="13" spans="2:8">
      <c r="B13" s="10"/>
      <c r="C13" s="11" t="str">
        <f>IFERROR(VLOOKUP($B13,'Master Emp List'!$A$1:$I$38,3,FALSE),"Emp ID Not Found")</f>
        <v>Emp ID Not Found</v>
      </c>
      <c r="D13" s="11" t="str">
        <f>IFERROR(VLOOKUP(B13,'Master Emp List'!A11:I48,2,FALSE),"Emp ID Not Found")</f>
        <v>Emp ID Not Found</v>
      </c>
      <c r="E13" s="11" t="str">
        <f>IFERROR(VLOOKUP(B13,'Master Emp List'!$A$1:$I$38,4,FALSE),"Emp ID Not Found")</f>
        <v>Emp ID Not Found</v>
      </c>
      <c r="F13" s="11" t="str">
        <f>IFERROR(VLOOKUP(B13,'Master Emp List'!A11:I48,9,FALSE),"Emp ID Not Found")</f>
        <v>Emp ID Not Found</v>
      </c>
      <c r="G13" s="66"/>
    </row>
    <row r="14" spans="2:8">
      <c r="B14" s="10">
        <v>1302</v>
      </c>
      <c r="C14" s="11" t="str">
        <f>IFERROR(VLOOKUP($B14,'Master Emp List'!$A$1:$I$38,3,FALSE),"Emp ID Not Found")</f>
        <v>Randy</v>
      </c>
      <c r="D14" s="11" t="str">
        <f>IFERROR(VLOOKUP(B14,'Master Emp List'!A12:I49,2,FALSE),"Emp ID Not Found")</f>
        <v>Sindole</v>
      </c>
      <c r="E14" s="11" t="str">
        <f>IFERROR(VLOOKUP(B14,'Master Emp List'!$A$1:$I$38,4,FALSE),"Emp ID Not Found")</f>
        <v>MK</v>
      </c>
      <c r="F14" s="11">
        <f>IFERROR(VLOOKUP(B14,'Master Emp List'!A12:I49,9,FALSE),"Emp ID Not Found")</f>
        <v>14.25</v>
      </c>
      <c r="G14" s="66"/>
    </row>
    <row r="15" spans="2:8">
      <c r="B15" s="10">
        <v>1310</v>
      </c>
      <c r="C15" s="11" t="str">
        <f>IFERROR(VLOOKUP($B15,'Master Emp List'!$A$1:$I$38,3,FALSE),"Emp ID Not Found")</f>
        <v>Ellen</v>
      </c>
      <c r="D15" s="11" t="str">
        <f>IFERROR(VLOOKUP(B15,'Master Emp List'!A13:I50,2,FALSE),"Emp ID Not Found")</f>
        <v>Smith</v>
      </c>
      <c r="E15" s="11" t="str">
        <f>IFERROR(VLOOKUP(B15,'Master Emp List'!$A$1:$I$38,4,FALSE),"Emp ID Not Found")</f>
        <v>MF</v>
      </c>
      <c r="F15" s="11">
        <f>IFERROR(VLOOKUP(B15,'Master Emp List'!A13:I50,9,FALSE),"Emp ID Not Found")</f>
        <v>11.5</v>
      </c>
      <c r="G15" s="66"/>
    </row>
    <row r="16" spans="2:8">
      <c r="B16" s="10">
        <v>1329</v>
      </c>
      <c r="C16" s="11" t="str">
        <f>IFERROR(VLOOKUP($B16,'Master Emp List'!$A$1:$I$38,3,FALSE),"Emp ID Not Found")</f>
        <v>Tuome</v>
      </c>
      <c r="D16" s="11" t="str">
        <f>IFERROR(VLOOKUP(B16,'Master Emp List'!A14:I51,2,FALSE),"Emp ID Not Found")</f>
        <v>Vuanuo</v>
      </c>
      <c r="E16" s="11" t="str">
        <f>IFERROR(VLOOKUP(B16,'Master Emp List'!$A$1:$I$38,4,FALSE),"Emp ID Not Found")</f>
        <v>AC</v>
      </c>
      <c r="F16" s="11">
        <f>IFERROR(VLOOKUP(B16,'Master Emp List'!A14:I51,9,FALSE),"Emp ID Not Found")</f>
        <v>10.35</v>
      </c>
      <c r="G16" s="66"/>
    </row>
    <row r="17" spans="2:8">
      <c r="B17" s="10">
        <v>1333</v>
      </c>
      <c r="C17" s="11" t="str">
        <f>IFERROR(VLOOKUP($B17,'Master Emp List'!$A$1:$I$38,3,FALSE),"Emp ID Not Found")</f>
        <v>Tadeuz</v>
      </c>
      <c r="D17" s="11" t="str">
        <f>IFERROR(VLOOKUP(B17,'Master Emp List'!A15:I52,2,FALSE),"Emp ID Not Found")</f>
        <v>Szcznyck</v>
      </c>
      <c r="E17" s="11" t="str">
        <f>IFERROR(VLOOKUP(B17,'Master Emp List'!$A$1:$I$38,4,FALSE),"Emp ID Not Found")</f>
        <v>HR</v>
      </c>
      <c r="F17" s="11">
        <f>IFERROR(VLOOKUP(B17,'Master Emp List'!A15:I52,9,FALSE),"Emp ID Not Found")</f>
        <v>10.15</v>
      </c>
      <c r="G17" s="66"/>
    </row>
    <row r="18" spans="2:8" ht="14" thickBot="1">
      <c r="B18" s="13">
        <v>1368</v>
      </c>
      <c r="C18" s="11" t="str">
        <f>IFERROR(VLOOKUP($B18,'Master Emp List'!$A$1:$I$38,3,FALSE),"Emp ID Not Found")</f>
        <v>Tammy</v>
      </c>
      <c r="D18" s="11" t="str">
        <f>IFERROR(VLOOKUP(B18,'Master Emp List'!A16:I53,2,FALSE),"Emp ID Not Found")</f>
        <v>Wu</v>
      </c>
      <c r="E18" s="11" t="str">
        <f>IFERROR(VLOOKUP(B18,'Master Emp List'!$A$1:$I$38,4,FALSE),"Emp ID Not Found")</f>
        <v>AD</v>
      </c>
      <c r="F18" s="11">
        <f>IFERROR(VLOOKUP(B18,'Master Emp List'!A16:I53,9,FALSE),"Emp ID Not Found")</f>
        <v>12.25</v>
      </c>
      <c r="G18" s="66"/>
    </row>
    <row r="21" spans="2:8" ht="14" thickBot="1"/>
    <row r="22" spans="2:8" ht="14">
      <c r="B22" s="33" t="s">
        <v>16</v>
      </c>
      <c r="C22" s="34" t="s">
        <v>18</v>
      </c>
      <c r="D22" s="34" t="s">
        <v>17</v>
      </c>
      <c r="E22" s="34" t="s">
        <v>19</v>
      </c>
      <c r="F22" s="34" t="s">
        <v>140</v>
      </c>
    </row>
    <row r="23" spans="2:8">
      <c r="B23" s="10">
        <v>1054</v>
      </c>
      <c r="C23" s="11" t="str">
        <f>INDEX('Master Emp List'!$A$1:$I$38,MATCH('VLOOKUP Function'!$B23,'Master Emp List'!$A$1:$A$38,0),MATCH('VLOOKUP Function'!C$22,'Master Emp List'!$A$1:$I$1,0))</f>
        <v>Howard</v>
      </c>
      <c r="D23" s="11" t="str">
        <f>INDEX('Master Emp List'!$A$1:$I$38,MATCH('VLOOKUP Function'!$B23,'Master Emp List'!$A$1:$A$38,0),MATCH('VLOOKUP Function'!D$22,'Master Emp List'!$A$1:$I$1,0))</f>
        <v>Smith</v>
      </c>
      <c r="E23" s="11" t="str">
        <f>INDEX('Master Emp List'!$A$1:$I$38,MATCH('VLOOKUP Function'!$B23,'Master Emp List'!$A$1:$A$38,0),MATCH('VLOOKUP Function'!E$22,'Master Emp List'!$A$1:$I$1,0))</f>
        <v>AT</v>
      </c>
      <c r="F23" s="11">
        <f>INDEX('Master Emp List'!$A$1:$I$38,MATCH('VLOOKUP Function'!$B23,'Master Emp List'!$A$1:$A$38,0),MATCH('VLOOKUP Function'!F$22,'Master Emp List'!$A$1:$I$1,0))</f>
        <v>11.25</v>
      </c>
    </row>
    <row r="24" spans="2:8">
      <c r="B24" s="10">
        <v>1056</v>
      </c>
      <c r="C24" s="11" t="str">
        <f>INDEX('Master Emp List'!$A$1:$I$38,MATCH('VLOOKUP Function'!$B24,'Master Emp List'!$A$1:$A$38,0),MATCH('VLOOKUP Function'!C$22,'Master Emp List'!$A$1:$I$1,0))</f>
        <v>Joe</v>
      </c>
      <c r="D24" s="11" t="str">
        <f>INDEX('Master Emp List'!$A$1:$I$38,MATCH('VLOOKUP Function'!$B24,'Master Emp List'!$A$1:$A$38,0),MATCH('VLOOKUP Function'!D$22,'Master Emp List'!$A$1:$I$1,0))</f>
        <v>Gonzales</v>
      </c>
      <c r="E24" s="11" t="str">
        <f>INDEX('Master Emp List'!$A$1:$I$38,MATCH('VLOOKUP Function'!$B24,'Master Emp List'!$A$1:$A$38,0),MATCH('VLOOKUP Function'!E$22,'Master Emp List'!$A$1:$I$1,0))</f>
        <v>AT</v>
      </c>
      <c r="F24" s="11">
        <f>INDEX('Master Emp List'!$A$1:$I$38,MATCH('VLOOKUP Function'!$B24,'Master Emp List'!$A$1:$A$38,0),MATCH('VLOOKUP Function'!F$22,'Master Emp List'!$A$1:$I$1,0))</f>
        <v>12.25</v>
      </c>
      <c r="H24" s="121" t="s">
        <v>290</v>
      </c>
    </row>
    <row r="25" spans="2:8">
      <c r="B25" s="10">
        <v>1067</v>
      </c>
      <c r="C25" s="11" t="str">
        <f>INDEX('Master Emp List'!$A$1:$I$38,MATCH('VLOOKUP Function'!$B25,'Master Emp List'!$A$1:$A$38,0),MATCH('VLOOKUP Function'!C$22,'Master Emp List'!$A$1:$I$1,0))</f>
        <v>Gail</v>
      </c>
      <c r="D25" s="11" t="str">
        <f>INDEX('Master Emp List'!$A$1:$I$38,MATCH('VLOOKUP Function'!$B25,'Master Emp List'!$A$1:$A$38,0),MATCH('VLOOKUP Function'!D$22,'Master Emp List'!$A$1:$I$1,0))</f>
        <v>Scote</v>
      </c>
      <c r="E25" s="11" t="str">
        <f>INDEX('Master Emp List'!$A$1:$I$38,MATCH('VLOOKUP Function'!$B25,'Master Emp List'!$A$1:$A$38,0),MATCH('VLOOKUP Function'!E$22,'Master Emp List'!$A$1:$I$1,0))</f>
        <v>AT</v>
      </c>
      <c r="F25" s="11">
        <f>INDEX('Master Emp List'!$A$1:$I$38,MATCH('VLOOKUP Function'!$B25,'Master Emp List'!$A$1:$A$38,0),MATCH('VLOOKUP Function'!F$22,'Master Emp List'!$A$1:$I$1,0))</f>
        <v>14.55</v>
      </c>
    </row>
    <row r="26" spans="2:8">
      <c r="B26" s="10">
        <v>1075</v>
      </c>
      <c r="C26" s="11" t="str">
        <f>INDEX('Master Emp List'!$A$1:$I$38,MATCH('VLOOKUP Function'!$B26,'Master Emp List'!$A$1:$A$38,0),MATCH('VLOOKUP Function'!C$22,'Master Emp List'!$A$1:$I$1,0))</f>
        <v>Sheryl</v>
      </c>
      <c r="D26" s="11" t="str">
        <f>INDEX('Master Emp List'!$A$1:$I$38,MATCH('VLOOKUP Function'!$B26,'Master Emp List'!$A$1:$A$38,0),MATCH('VLOOKUP Function'!D$22,'Master Emp List'!$A$1:$I$1,0))</f>
        <v>Kane</v>
      </c>
      <c r="E26" s="11" t="str">
        <f>INDEX('Master Emp List'!$A$1:$I$38,MATCH('VLOOKUP Function'!$B26,'Master Emp List'!$A$1:$A$38,0),MATCH('VLOOKUP Function'!E$22,'Master Emp List'!$A$1:$I$1,0))</f>
        <v>AD</v>
      </c>
      <c r="F26" s="11">
        <f>INDEX('Master Emp List'!$A$1:$I$38,MATCH('VLOOKUP Function'!$B26,'Master Emp List'!$A$1:$A$38,0),MATCH('VLOOKUP Function'!F$22,'Master Emp List'!$A$1:$I$1,0))</f>
        <v>11.25</v>
      </c>
    </row>
    <row r="27" spans="2:8">
      <c r="B27" s="10">
        <v>1078</v>
      </c>
      <c r="C27" s="11" t="str">
        <f>INDEX('Master Emp List'!$A$1:$I$38,MATCH('VLOOKUP Function'!$B27,'Master Emp List'!$A$1:$A$38,0),MATCH('VLOOKUP Function'!C$22,'Master Emp List'!$A$1:$I$1,0))</f>
        <v>Kendrick</v>
      </c>
      <c r="D27" s="11" t="str">
        <f>INDEX('Master Emp List'!$A$1:$I$38,MATCH('VLOOKUP Function'!$B27,'Master Emp List'!$A$1:$A$38,0),MATCH('VLOOKUP Function'!D$22,'Master Emp List'!$A$1:$I$1,0))</f>
        <v>Hapsbuch</v>
      </c>
      <c r="E27" s="11" t="str">
        <f>INDEX('Master Emp List'!$A$1:$I$38,MATCH('VLOOKUP Function'!$B27,'Master Emp List'!$A$1:$A$38,0),MATCH('VLOOKUP Function'!E$22,'Master Emp List'!$A$1:$I$1,0))</f>
        <v>AC</v>
      </c>
      <c r="F27" s="11">
        <f>INDEX('Master Emp List'!$A$1:$I$38,MATCH('VLOOKUP Function'!$B27,'Master Emp List'!$A$1:$A$38,0),MATCH('VLOOKUP Function'!F$22,'Master Emp List'!$A$1:$I$1,0))</f>
        <v>10.199999999999999</v>
      </c>
    </row>
    <row r="28" spans="2:8">
      <c r="B28" s="10">
        <v>1152</v>
      </c>
      <c r="C28" s="11" t="str">
        <f>INDEX('Master Emp List'!$A$1:$I$38,MATCH('VLOOKUP Function'!$B28,'Master Emp List'!$A$1:$A$38,0),MATCH('VLOOKUP Function'!C$22,'Master Emp List'!$A$1:$I$1,0))</f>
        <v>Mark</v>
      </c>
      <c r="D28" s="11" t="str">
        <f>INDEX('Master Emp List'!$A$1:$I$38,MATCH('VLOOKUP Function'!$B28,'Master Emp List'!$A$1:$A$38,0),MATCH('VLOOKUP Function'!D$22,'Master Emp List'!$A$1:$I$1,0))</f>
        <v>Henders</v>
      </c>
      <c r="E28" s="11" t="str">
        <f>INDEX('Master Emp List'!$A$1:$I$38,MATCH('VLOOKUP Function'!$B28,'Master Emp List'!$A$1:$A$38,0),MATCH('VLOOKUP Function'!E$22,'Master Emp List'!$A$1:$I$1,0))</f>
        <v>AD</v>
      </c>
      <c r="F28" s="11">
        <f>INDEX('Master Emp List'!$A$1:$I$38,MATCH('VLOOKUP Function'!$B28,'Master Emp List'!$A$1:$A$38,0),MATCH('VLOOKUP Function'!F$22,'Master Emp List'!$A$1:$I$1,0))</f>
        <v>12.25</v>
      </c>
    </row>
    <row r="29" spans="2:8">
      <c r="B29" s="10">
        <v>1196</v>
      </c>
      <c r="C29" s="11" t="str">
        <f>INDEX('Master Emp List'!$A$1:$I$38,MATCH('VLOOKUP Function'!$B29,'Master Emp List'!$A$1:$A$38,0),MATCH('VLOOKUP Function'!C$22,'Master Emp List'!$A$1:$I$1,0))</f>
        <v>Katie</v>
      </c>
      <c r="D29" s="11" t="str">
        <f>INDEX('Master Emp List'!$A$1:$I$38,MATCH('VLOOKUP Function'!$B29,'Master Emp List'!$A$1:$A$38,0),MATCH('VLOOKUP Function'!D$22,'Master Emp List'!$A$1:$I$1,0))</f>
        <v>Atherton</v>
      </c>
      <c r="E29" s="11" t="str">
        <f>INDEX('Master Emp List'!$A$1:$I$38,MATCH('VLOOKUP Function'!$B29,'Master Emp List'!$A$1:$A$38,0),MATCH('VLOOKUP Function'!E$22,'Master Emp List'!$A$1:$I$1,0))</f>
        <v>HR</v>
      </c>
      <c r="F29" s="11">
        <f>INDEX('Master Emp List'!$A$1:$I$38,MATCH('VLOOKUP Function'!$B29,'Master Emp List'!$A$1:$A$38,0),MATCH('VLOOKUP Function'!F$22,'Master Emp List'!$A$1:$I$1,0))</f>
        <v>9.9499999999999993</v>
      </c>
    </row>
    <row r="30" spans="2:8">
      <c r="B30" s="10">
        <v>1284</v>
      </c>
      <c r="C30" s="11" t="str">
        <f>INDEX('Master Emp List'!$A$1:$I$38,MATCH('VLOOKUP Function'!$B30,'Master Emp List'!$A$1:$A$38,0),MATCH('VLOOKUP Function'!C$22,'Master Emp List'!$A$1:$I$1,0))</f>
        <v>Frank</v>
      </c>
      <c r="D30" s="11" t="str">
        <f>INDEX('Master Emp List'!$A$1:$I$38,MATCH('VLOOKUP Function'!$B30,'Master Emp List'!$A$1:$A$38,0),MATCH('VLOOKUP Function'!D$22,'Master Emp List'!$A$1:$I$1,0))</f>
        <v>Bellwood</v>
      </c>
      <c r="E30" s="11" t="str">
        <f>INDEX('Master Emp List'!$A$1:$I$38,MATCH('VLOOKUP Function'!$B30,'Master Emp List'!$A$1:$A$38,0),MATCH('VLOOKUP Function'!E$22,'Master Emp List'!$A$1:$I$1,0))</f>
        <v>MK</v>
      </c>
      <c r="F30" s="11">
        <f>INDEX('Master Emp List'!$A$1:$I$38,MATCH('VLOOKUP Function'!$B30,'Master Emp List'!$A$1:$A$38,0),MATCH('VLOOKUP Function'!F$22,'Master Emp List'!$A$1:$I$1,0))</f>
        <v>12.3</v>
      </c>
    </row>
    <row r="31" spans="2:8">
      <c r="B31" s="10"/>
      <c r="C31" s="11" t="e">
        <f>INDEX('Master Emp List'!$A$1:$I$38,MATCH('VLOOKUP Function'!$B31,'Master Emp List'!$A$1:$A$38,0),MATCH('VLOOKUP Function'!C$22,'Master Emp List'!$A$1:$I$1,0))</f>
        <v>#N/A</v>
      </c>
      <c r="D31" s="11" t="e">
        <f>INDEX('Master Emp List'!$A$1:$I$38,MATCH('VLOOKUP Function'!$B31,'Master Emp List'!$A$1:$A$38,0),MATCH('VLOOKUP Function'!D$22,'Master Emp List'!$A$1:$I$1,0))</f>
        <v>#N/A</v>
      </c>
      <c r="E31" s="11" t="e">
        <f>INDEX('Master Emp List'!$A$1:$I$38,MATCH('VLOOKUP Function'!$B31,'Master Emp List'!$A$1:$A$38,0),MATCH('VLOOKUP Function'!E$22,'Master Emp List'!$A$1:$I$1,0))</f>
        <v>#N/A</v>
      </c>
      <c r="F31" s="11" t="e">
        <f>INDEX('Master Emp List'!$A$1:$I$38,MATCH('VLOOKUP Function'!$B31,'Master Emp List'!$A$1:$A$38,0),MATCH('VLOOKUP Function'!F$22,'Master Emp List'!$A$1:$I$1,0))</f>
        <v>#N/A</v>
      </c>
    </row>
    <row r="32" spans="2:8">
      <c r="B32" s="10"/>
      <c r="C32" s="11" t="e">
        <f>INDEX('Master Emp List'!$A$1:$I$38,MATCH('VLOOKUP Function'!$B32,'Master Emp List'!$A$1:$A$38,0),MATCH('VLOOKUP Function'!C$22,'Master Emp List'!$A$1:$I$1,0))</f>
        <v>#N/A</v>
      </c>
      <c r="D32" s="11" t="e">
        <f>INDEX('Master Emp List'!$A$1:$I$38,MATCH('VLOOKUP Function'!$B32,'Master Emp List'!$A$1:$A$38,0),MATCH('VLOOKUP Function'!D$22,'Master Emp List'!$A$1:$I$1,0))</f>
        <v>#N/A</v>
      </c>
      <c r="E32" s="11" t="e">
        <f>INDEX('Master Emp List'!$A$1:$I$38,MATCH('VLOOKUP Function'!$B32,'Master Emp List'!$A$1:$A$38,0),MATCH('VLOOKUP Function'!E$22,'Master Emp List'!$A$1:$I$1,0))</f>
        <v>#N/A</v>
      </c>
      <c r="F32" s="11" t="e">
        <f>INDEX('Master Emp List'!$A$1:$I$38,MATCH('VLOOKUP Function'!$B32,'Master Emp List'!$A$1:$A$38,0),MATCH('VLOOKUP Function'!F$22,'Master Emp List'!$A$1:$I$1,0))</f>
        <v>#N/A</v>
      </c>
    </row>
    <row r="33" spans="2:6">
      <c r="B33" s="10"/>
      <c r="C33" s="11" t="e">
        <f>INDEX('Master Emp List'!$A$1:$I$38,MATCH('VLOOKUP Function'!$B33,'Master Emp List'!$A$1:$A$38,0),MATCH('VLOOKUP Function'!C$22,'Master Emp List'!$A$1:$I$1,0))</f>
        <v>#N/A</v>
      </c>
      <c r="D33" s="11" t="e">
        <f>INDEX('Master Emp List'!$A$1:$I$38,MATCH('VLOOKUP Function'!$B33,'Master Emp List'!$A$1:$A$38,0),MATCH('VLOOKUP Function'!D$22,'Master Emp List'!$A$1:$I$1,0))</f>
        <v>#N/A</v>
      </c>
      <c r="E33" s="11" t="e">
        <f>INDEX('Master Emp List'!$A$1:$I$38,MATCH('VLOOKUP Function'!$B33,'Master Emp List'!$A$1:$A$38,0),MATCH('VLOOKUP Function'!E$22,'Master Emp List'!$A$1:$I$1,0))</f>
        <v>#N/A</v>
      </c>
      <c r="F33" s="11" t="e">
        <f>INDEX('Master Emp List'!$A$1:$I$38,MATCH('VLOOKUP Function'!$B33,'Master Emp List'!$A$1:$A$38,0),MATCH('VLOOKUP Function'!F$22,'Master Emp List'!$A$1:$I$1,0))</f>
        <v>#N/A</v>
      </c>
    </row>
    <row r="34" spans="2:6">
      <c r="B34" s="10">
        <v>1302</v>
      </c>
      <c r="C34" s="11" t="str">
        <f>INDEX('Master Emp List'!$A$1:$I$38,MATCH('VLOOKUP Function'!$B34,'Master Emp List'!$A$1:$A$38,0),MATCH('VLOOKUP Function'!C$22,'Master Emp List'!$A$1:$I$1,0))</f>
        <v>Randy</v>
      </c>
      <c r="D34" s="11" t="str">
        <f>INDEX('Master Emp List'!$A$1:$I$38,MATCH('VLOOKUP Function'!$B34,'Master Emp List'!$A$1:$A$38,0),MATCH('VLOOKUP Function'!D$22,'Master Emp List'!$A$1:$I$1,0))</f>
        <v>Sindole</v>
      </c>
      <c r="E34" s="11" t="str">
        <f>INDEX('Master Emp List'!$A$1:$I$38,MATCH('VLOOKUP Function'!$B34,'Master Emp List'!$A$1:$A$38,0),MATCH('VLOOKUP Function'!E$22,'Master Emp List'!$A$1:$I$1,0))</f>
        <v>MK</v>
      </c>
      <c r="F34" s="11">
        <f>INDEX('Master Emp List'!$A$1:$I$38,MATCH('VLOOKUP Function'!$B34,'Master Emp List'!$A$1:$A$38,0),MATCH('VLOOKUP Function'!F$22,'Master Emp List'!$A$1:$I$1,0))</f>
        <v>14.25</v>
      </c>
    </row>
    <row r="35" spans="2:6">
      <c r="B35" s="10">
        <v>1310</v>
      </c>
      <c r="C35" s="11" t="str">
        <f>INDEX('Master Emp List'!$A$1:$I$38,MATCH('VLOOKUP Function'!$B35,'Master Emp List'!$A$1:$A$38,0),MATCH('VLOOKUP Function'!C$22,'Master Emp List'!$A$1:$I$1,0))</f>
        <v>Ellen</v>
      </c>
      <c r="D35" s="11" t="str">
        <f>INDEX('Master Emp List'!$A$1:$I$38,MATCH('VLOOKUP Function'!$B35,'Master Emp List'!$A$1:$A$38,0),MATCH('VLOOKUP Function'!D$22,'Master Emp List'!$A$1:$I$1,0))</f>
        <v>Smith</v>
      </c>
      <c r="E35" s="11" t="str">
        <f>INDEX('Master Emp List'!$A$1:$I$38,MATCH('VLOOKUP Function'!$B35,'Master Emp List'!$A$1:$A$38,0),MATCH('VLOOKUP Function'!E$22,'Master Emp List'!$A$1:$I$1,0))</f>
        <v>MF</v>
      </c>
      <c r="F35" s="11">
        <f>INDEX('Master Emp List'!$A$1:$I$38,MATCH('VLOOKUP Function'!$B35,'Master Emp List'!$A$1:$A$38,0),MATCH('VLOOKUP Function'!F$22,'Master Emp List'!$A$1:$I$1,0))</f>
        <v>11.5</v>
      </c>
    </row>
    <row r="36" spans="2:6">
      <c r="B36" s="10">
        <v>1329</v>
      </c>
      <c r="C36" s="11" t="str">
        <f>INDEX('Master Emp List'!$A$1:$I$38,MATCH('VLOOKUP Function'!$B36,'Master Emp List'!$A$1:$A$38,0),MATCH('VLOOKUP Function'!C$22,'Master Emp List'!$A$1:$I$1,0))</f>
        <v>Tuome</v>
      </c>
      <c r="D36" s="11" t="str">
        <f>INDEX('Master Emp List'!$A$1:$I$38,MATCH('VLOOKUP Function'!$B36,'Master Emp List'!$A$1:$A$38,0),MATCH('VLOOKUP Function'!D$22,'Master Emp List'!$A$1:$I$1,0))</f>
        <v>Vuanuo</v>
      </c>
      <c r="E36" s="11" t="str">
        <f>INDEX('Master Emp List'!$A$1:$I$38,MATCH('VLOOKUP Function'!$B36,'Master Emp List'!$A$1:$A$38,0),MATCH('VLOOKUP Function'!E$22,'Master Emp List'!$A$1:$I$1,0))</f>
        <v>AC</v>
      </c>
      <c r="F36" s="11">
        <f>INDEX('Master Emp List'!$A$1:$I$38,MATCH('VLOOKUP Function'!$B36,'Master Emp List'!$A$1:$A$38,0),MATCH('VLOOKUP Function'!F$22,'Master Emp List'!$A$1:$I$1,0))</f>
        <v>10.35</v>
      </c>
    </row>
    <row r="37" spans="2:6">
      <c r="B37" s="10">
        <v>1333</v>
      </c>
      <c r="C37" s="11" t="str">
        <f>INDEX('Master Emp List'!$A$1:$I$38,MATCH('VLOOKUP Function'!$B37,'Master Emp List'!$A$1:$A$38,0),MATCH('VLOOKUP Function'!C$22,'Master Emp List'!$A$1:$I$1,0))</f>
        <v>Tadeuz</v>
      </c>
      <c r="D37" s="11" t="str">
        <f>INDEX('Master Emp List'!$A$1:$I$38,MATCH('VLOOKUP Function'!$B37,'Master Emp List'!$A$1:$A$38,0),MATCH('VLOOKUP Function'!D$22,'Master Emp List'!$A$1:$I$1,0))</f>
        <v>Szcznyck</v>
      </c>
      <c r="E37" s="11" t="str">
        <f>INDEX('Master Emp List'!$A$1:$I$38,MATCH('VLOOKUP Function'!$B37,'Master Emp List'!$A$1:$A$38,0),MATCH('VLOOKUP Function'!E$22,'Master Emp List'!$A$1:$I$1,0))</f>
        <v>HR</v>
      </c>
      <c r="F37" s="11">
        <f>INDEX('Master Emp List'!$A$1:$I$38,MATCH('VLOOKUP Function'!$B37,'Master Emp List'!$A$1:$A$38,0),MATCH('VLOOKUP Function'!F$22,'Master Emp List'!$A$1:$I$1,0))</f>
        <v>10.15</v>
      </c>
    </row>
    <row r="38" spans="2:6" ht="14" thickBot="1">
      <c r="B38" s="13">
        <v>1368</v>
      </c>
      <c r="C38" s="11" t="str">
        <f>INDEX('Master Emp List'!$A$1:$I$38,MATCH('VLOOKUP Function'!$B38,'Master Emp List'!$A$1:$A$38,0),MATCH('VLOOKUP Function'!C$22,'Master Emp List'!$A$1:$I$1,0))</f>
        <v>Tammy</v>
      </c>
      <c r="D38" s="11" t="str">
        <f>INDEX('Master Emp List'!$A$1:$I$38,MATCH('VLOOKUP Function'!$B38,'Master Emp List'!$A$1:$A$38,0),MATCH('VLOOKUP Function'!D$22,'Master Emp List'!$A$1:$I$1,0))</f>
        <v>Wu</v>
      </c>
      <c r="E38" s="11" t="str">
        <f>INDEX('Master Emp List'!$A$1:$I$38,MATCH('VLOOKUP Function'!$B38,'Master Emp List'!$A$1:$A$38,0),MATCH('VLOOKUP Function'!E$22,'Master Emp List'!$A$1:$I$1,0))</f>
        <v>AD</v>
      </c>
      <c r="F38" s="11">
        <f>INDEX('Master Emp List'!$A$1:$I$38,MATCH('VLOOKUP Function'!$B38,'Master Emp List'!$A$1:$A$38,0),MATCH('VLOOKUP Function'!F$22,'Master Emp List'!$A$1:$I$1,0))</f>
        <v>12.25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zoomScale="115" zoomScaleNormal="115" workbookViewId="0">
      <selection activeCell="D3" sqref="D3"/>
    </sheetView>
  </sheetViews>
  <sheetFormatPr baseColWidth="10" defaultColWidth="8.83203125" defaultRowHeight="14.25" customHeight="1"/>
  <cols>
    <col min="1" max="8" width="14.1640625" style="6" customWidth="1"/>
    <col min="9" max="9" width="14.16406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D21"/>
  <sheetViews>
    <sheetView showGridLines="0" topLeftCell="A7" zoomScale="205" zoomScaleNormal="205" workbookViewId="0">
      <selection activeCell="B19" sqref="B19:B21"/>
    </sheetView>
  </sheetViews>
  <sheetFormatPr baseColWidth="10" defaultColWidth="9.1640625" defaultRowHeight="13"/>
  <cols>
    <col min="1" max="1" width="30.1640625" style="54" bestFit="1" customWidth="1"/>
    <col min="2" max="2" width="18.6640625" style="54" customWidth="1"/>
    <col min="3" max="3" width="4.83203125" style="54" customWidth="1"/>
    <col min="4" max="4" width="8.1640625" style="54" customWidth="1"/>
    <col min="5" max="5" width="7.33203125" style="54" customWidth="1"/>
    <col min="6" max="6" width="10.5" style="54" bestFit="1" customWidth="1"/>
    <col min="7" max="7" width="12.6640625" style="54" bestFit="1" customWidth="1"/>
    <col min="8" max="16384" width="9.1640625" style="54"/>
  </cols>
  <sheetData>
    <row r="1" spans="1:4" ht="14" thickBot="1"/>
    <row r="2" spans="1:4" ht="22.5" customHeight="1" thickBot="1">
      <c r="A2" s="136" t="s">
        <v>231</v>
      </c>
      <c r="B2" s="137"/>
    </row>
    <row r="3" spans="1:4" ht="18" thickTop="1" thickBot="1">
      <c r="A3" s="60" t="s">
        <v>230</v>
      </c>
      <c r="B3" s="59" t="s">
        <v>226</v>
      </c>
      <c r="D3" s="122" t="s">
        <v>291</v>
      </c>
    </row>
    <row r="4" spans="1:4" ht="7.5" customHeight="1" thickTop="1">
      <c r="A4" s="58"/>
      <c r="B4" s="57"/>
    </row>
    <row r="5" spans="1:4">
      <c r="A5" s="61" t="s">
        <v>229</v>
      </c>
      <c r="B5" s="56">
        <f>HLOOKUP($B$3,'Master Inventory List'!$A$2:$G$5,2,FALSE)</f>
        <v>150</v>
      </c>
    </row>
    <row r="6" spans="1:4">
      <c r="A6" s="61" t="s">
        <v>228</v>
      </c>
      <c r="B6" s="56">
        <f>HLOOKUP($B$3,'Master Inventory List'!A2:G5,3,FALSE)</f>
        <v>110</v>
      </c>
    </row>
    <row r="7" spans="1:4" ht="14" thickBot="1">
      <c r="A7" s="62" t="s">
        <v>227</v>
      </c>
      <c r="B7" s="56">
        <f>HLOOKUP($B$3,'Master Inventory List'!$A$2:$G$5,4,FALSE)</f>
        <v>115</v>
      </c>
    </row>
    <row r="8" spans="1:4" ht="14" thickBot="1"/>
    <row r="9" spans="1:4" ht="17" thickBot="1">
      <c r="A9" s="138" t="s">
        <v>231</v>
      </c>
      <c r="B9" s="137"/>
    </row>
    <row r="10" spans="1:4" ht="18" thickTop="1" thickBot="1">
      <c r="A10" s="60" t="s">
        <v>230</v>
      </c>
      <c r="B10" s="59" t="s">
        <v>226</v>
      </c>
      <c r="D10" s="122" t="s">
        <v>292</v>
      </c>
    </row>
    <row r="11" spans="1:4" ht="14" thickTop="1">
      <c r="A11" s="58"/>
      <c r="B11" s="57"/>
      <c r="D11" s="122" t="s">
        <v>293</v>
      </c>
    </row>
    <row r="12" spans="1:4">
      <c r="A12" s="61" t="s">
        <v>229</v>
      </c>
      <c r="B12" s="56">
        <f>HLOOKUP($B$3,'Master Inventory List'!$A$2:$G$5,MATCH(LEFT(A12,11),'Master Inventory List'!$A$2:$A$5,0),FALSE)</f>
        <v>150</v>
      </c>
    </row>
    <row r="13" spans="1:4">
      <c r="A13" s="61" t="s">
        <v>228</v>
      </c>
      <c r="B13" s="56">
        <f>HLOOKUP($B$3,'Master Inventory List'!$A$2:$G$5,MATCH(LEFT(A13,11),'Master Inventory List'!$A$2:$A$5,0),FALSE)</f>
        <v>110</v>
      </c>
    </row>
    <row r="14" spans="1:4" ht="14" thickBot="1">
      <c r="A14" s="62" t="s">
        <v>227</v>
      </c>
      <c r="B14" s="56">
        <f>HLOOKUP($B$3,'Master Inventory List'!$A$2:$G$5,MATCH(LEFT(A14,11),'Master Inventory List'!$A$2:$A$5,0),FALSE)</f>
        <v>115</v>
      </c>
    </row>
    <row r="15" spans="1:4" ht="14" thickBot="1"/>
    <row r="16" spans="1:4" ht="17" thickBot="1">
      <c r="A16" s="138" t="s">
        <v>231</v>
      </c>
      <c r="B16" s="137"/>
    </row>
    <row r="17" spans="1:2" ht="18" thickTop="1" thickBot="1">
      <c r="A17" s="60" t="s">
        <v>230</v>
      </c>
      <c r="B17" s="59" t="s">
        <v>226</v>
      </c>
    </row>
    <row r="18" spans="1:2" ht="14" thickTop="1">
      <c r="A18" s="58"/>
      <c r="B18" s="57"/>
    </row>
    <row r="19" spans="1:2">
      <c r="A19" s="61" t="s">
        <v>229</v>
      </c>
      <c r="B19" s="56">
        <f>HLOOKUP($B$17,'Master Inventory List'!$A$2:$G$5,MATCH(LEFT('HLOOKUP Function'!$A19,11),'Master Inventory List'!$A$2:$A$5,FALSE))</f>
        <v>150</v>
      </c>
    </row>
    <row r="20" spans="1:2">
      <c r="A20" s="61" t="s">
        <v>228</v>
      </c>
      <c r="B20" s="56">
        <f>HLOOKUP($B$17,'Master Inventory List'!$A$2:$G$5,MATCH(LEFT('HLOOKUP Function'!$A20,11),'Master Inventory List'!$A$2:$A$5,FALSE))</f>
        <v>110</v>
      </c>
    </row>
    <row r="21" spans="1:2" ht="14" thickBot="1">
      <c r="A21" s="62" t="s">
        <v>227</v>
      </c>
      <c r="B21" s="56">
        <f>HLOOKUP($B$17,'Master Inventory List'!$A$2:$G$5,MATCH(LEFT('HLOOKUP Function'!$A21,11),'Master Inventory List'!$A$2:$A$5,FALSE))</f>
        <v>115</v>
      </c>
    </row>
  </sheetData>
  <mergeCells count="3">
    <mergeCell ref="A2:B2"/>
    <mergeCell ref="A9:B9"/>
    <mergeCell ref="A16:B16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D3" sqref="D3"/>
    </sheetView>
  </sheetViews>
  <sheetFormatPr baseColWidth="10" defaultColWidth="9.1640625" defaultRowHeight="13"/>
  <cols>
    <col min="1" max="1" width="14.83203125" style="54" customWidth="1"/>
    <col min="2" max="16384" width="9.1640625" style="54"/>
  </cols>
  <sheetData>
    <row r="2" spans="1:7">
      <c r="A2" s="63" t="s">
        <v>238</v>
      </c>
      <c r="B2" s="64" t="s">
        <v>224</v>
      </c>
      <c r="C2" s="64" t="s">
        <v>226</v>
      </c>
      <c r="D2" s="64" t="s">
        <v>237</v>
      </c>
      <c r="E2" s="64" t="s">
        <v>236</v>
      </c>
      <c r="F2" s="64" t="s">
        <v>235</v>
      </c>
      <c r="G2" s="64" t="s">
        <v>225</v>
      </c>
    </row>
    <row r="3" spans="1:7">
      <c r="A3" s="65" t="s">
        <v>234</v>
      </c>
      <c r="B3" s="55">
        <v>120</v>
      </c>
      <c r="C3" s="55">
        <v>150</v>
      </c>
      <c r="D3" s="55">
        <v>135</v>
      </c>
      <c r="E3" s="55">
        <v>90</v>
      </c>
      <c r="F3" s="55">
        <v>95</v>
      </c>
      <c r="G3" s="55">
        <v>140</v>
      </c>
    </row>
    <row r="4" spans="1:7">
      <c r="A4" s="65" t="s">
        <v>233</v>
      </c>
      <c r="B4" s="55">
        <v>55</v>
      </c>
      <c r="C4" s="55">
        <v>110</v>
      </c>
      <c r="D4" s="55">
        <v>75</v>
      </c>
      <c r="E4" s="55">
        <v>95</v>
      </c>
      <c r="F4" s="55">
        <v>75</v>
      </c>
      <c r="G4" s="55">
        <v>55</v>
      </c>
    </row>
    <row r="5" spans="1:7">
      <c r="A5" s="65" t="s">
        <v>232</v>
      </c>
      <c r="B5" s="55">
        <v>70</v>
      </c>
      <c r="C5" s="55">
        <v>115</v>
      </c>
      <c r="D5" s="55">
        <v>65</v>
      </c>
      <c r="E5" s="55">
        <v>55</v>
      </c>
      <c r="F5" s="55">
        <v>85</v>
      </c>
      <c r="G5" s="55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0"/>
  <dimension ref="B2:J19"/>
  <sheetViews>
    <sheetView zoomScale="130" zoomScaleNormal="130" workbookViewId="0">
      <selection activeCell="J4" sqref="J4:J9"/>
    </sheetView>
  </sheetViews>
  <sheetFormatPr baseColWidth="10" defaultColWidth="8.83203125" defaultRowHeight="13"/>
  <cols>
    <col min="1" max="1" width="3.1640625" customWidth="1"/>
    <col min="2" max="2" width="10" customWidth="1"/>
    <col min="3" max="3" width="16" customWidth="1"/>
    <col min="4" max="4" width="19" bestFit="1" customWidth="1"/>
    <col min="5" max="5" width="5.1640625" customWidth="1"/>
    <col min="6" max="10" width="15.6640625" bestFit="1" customWidth="1"/>
  </cols>
  <sheetData>
    <row r="2" spans="2:10" ht="41.25" customHeight="1" thickBot="1">
      <c r="C2" s="115" t="s">
        <v>281</v>
      </c>
      <c r="D2" s="118" t="s">
        <v>282</v>
      </c>
      <c r="F2" s="118" t="s">
        <v>286</v>
      </c>
      <c r="G2" s="118" t="s">
        <v>285</v>
      </c>
      <c r="H2" s="118" t="s">
        <v>284</v>
      </c>
      <c r="I2" s="118" t="s">
        <v>287</v>
      </c>
      <c r="J2" s="118" t="s">
        <v>288</v>
      </c>
    </row>
    <row r="3" spans="2:10" ht="14">
      <c r="B3" s="114" t="s">
        <v>283</v>
      </c>
      <c r="C3" s="116" t="s">
        <v>240</v>
      </c>
      <c r="D3" s="34" t="s">
        <v>241</v>
      </c>
      <c r="F3" s="117" t="s">
        <v>239</v>
      </c>
      <c r="G3" s="117" t="s">
        <v>239</v>
      </c>
      <c r="H3" s="117" t="s">
        <v>239</v>
      </c>
      <c r="I3" s="117" t="s">
        <v>239</v>
      </c>
      <c r="J3" s="117" t="s">
        <v>239</v>
      </c>
    </row>
    <row r="4" spans="2:10">
      <c r="B4" s="67">
        <v>1054</v>
      </c>
      <c r="C4" s="67" t="str">
        <f>INDEX('INDEX MATCH Master Emp List'!A1:I38,10,3)</f>
        <v>Linda</v>
      </c>
      <c r="D4" s="67">
        <f>MATCH(B4,'INDEX MATCH Master Emp List'!$A$2:$A$38,0)</f>
        <v>1</v>
      </c>
      <c r="F4" s="68" t="str">
        <f>INDEX('INDEX MATCH Master Emp List'!$B$1:$B$38,MATCH(B4,'INDEX MATCH Master Emp List'!$A$1:$A$38,0))</f>
        <v>Smith</v>
      </c>
      <c r="G4" s="120">
        <f>INDEX('INDEX MATCH Master Emp List'!$H$1:$H$38,MATCH('INDEX MATCH Functions'!B4,'INDEX MATCH Master Emp List'!A1:A38,0))</f>
        <v>33344</v>
      </c>
      <c r="H4" s="68" t="str">
        <f>INDEX('INDEX MATCH Master Emp List'!$D$1:$D$38,MATCH('INDEX MATCH Functions'!B4,'INDEX MATCH Master Emp List'!$A$1:$A$38,0))</f>
        <v>AT</v>
      </c>
      <c r="I4" s="68" t="str">
        <f>INDEX('INDEX MATCH Master Emp List'!$G$1:$G$38,MATCH('INDEX MATCH Functions'!B4,'INDEX MATCH Master Emp List'!$A$1:$A$38,0))</f>
        <v>Building 1</v>
      </c>
      <c r="J4" s="68">
        <f>INDEX('INDEX MATCH Master Emp List'!$I$1:$I$38,MATCH('INDEX MATCH Functions'!B4,'INDEX MATCH Master Emp List'!$A$1:$A$38,0))</f>
        <v>11.25</v>
      </c>
    </row>
    <row r="5" spans="2:10">
      <c r="B5" s="67">
        <v>1078</v>
      </c>
      <c r="C5" s="67" t="str">
        <f>INDEX('INDEX MATCH Master Emp List'!A1:I38,20,5)</f>
        <v>tomk</v>
      </c>
      <c r="D5" s="67">
        <f>MATCH(B5,'INDEX MATCH Master Emp List'!$A$2:$A$38,0)</f>
        <v>5</v>
      </c>
      <c r="F5" s="68" t="str">
        <f>INDEX('INDEX MATCH Master Emp List'!$B$1:$B$38,MATCH(B5,'INDEX MATCH Master Emp List'!$A$1:$A$38,0))</f>
        <v>Hapsbuch</v>
      </c>
      <c r="G5" s="120">
        <f>INDEX('INDEX MATCH Master Emp List'!$H$1:$H$38,MATCH('INDEX MATCH Functions'!B5,'INDEX MATCH Master Emp List'!A2:A39,0))</f>
        <v>33823</v>
      </c>
      <c r="H5" s="68" t="str">
        <f>INDEX('INDEX MATCH Master Emp List'!$D$1:$D$38,MATCH('INDEX MATCH Functions'!B5,'INDEX MATCH Master Emp List'!$A$1:$A$38,0))</f>
        <v>AC</v>
      </c>
      <c r="I5" s="68" t="str">
        <f>INDEX('INDEX MATCH Master Emp List'!$G$1:$G$38,MATCH('INDEX MATCH Functions'!B5,'INDEX MATCH Master Emp List'!$A$1:$A$38,0))</f>
        <v>Building 2</v>
      </c>
      <c r="J5" s="68">
        <f>INDEX('INDEX MATCH Master Emp List'!$I$1:$I$38,MATCH('INDEX MATCH Functions'!B5,'INDEX MATCH Master Emp List'!$A$1:$A$38,0))</f>
        <v>10.199999999999999</v>
      </c>
    </row>
    <row r="6" spans="2:10">
      <c r="B6" s="67">
        <v>1284</v>
      </c>
      <c r="C6" s="67" t="str">
        <f>INDEX('INDEX MATCH Master Emp List'!A2:I39,20,5)</f>
        <v>theok</v>
      </c>
      <c r="D6" s="67">
        <f>MATCH(B6,'INDEX MATCH Master Emp List'!$A$2:$A$38,0)</f>
        <v>8</v>
      </c>
      <c r="F6" s="68" t="str">
        <f>INDEX('INDEX MATCH Master Emp List'!$B$1:$B$38,MATCH(B6,'INDEX MATCH Master Emp List'!$A$1:$A$38,0))</f>
        <v>Bellwood</v>
      </c>
      <c r="G6" s="120">
        <f>INDEX('INDEX MATCH Master Emp List'!$H$1:$H$38,MATCH('INDEX MATCH Functions'!B6,'INDEX MATCH Master Emp List'!A3:A40,0))</f>
        <v>32894</v>
      </c>
      <c r="H6" s="68" t="str">
        <f>INDEX('INDEX MATCH Master Emp List'!$D$1:$D$38,MATCH('INDEX MATCH Functions'!B6,'INDEX MATCH Master Emp List'!$A$1:$A$38,0))</f>
        <v>MK</v>
      </c>
      <c r="I6" s="68" t="str">
        <f>INDEX('INDEX MATCH Master Emp List'!$G$1:$G$38,MATCH('INDEX MATCH Functions'!B6,'INDEX MATCH Master Emp List'!$A$1:$A$38,0))</f>
        <v>Building 1</v>
      </c>
      <c r="J6" s="68">
        <f>INDEX('INDEX MATCH Master Emp List'!$I$1:$I$38,MATCH('INDEX MATCH Functions'!B6,'INDEX MATCH Master Emp List'!$A$1:$A$38,0))</f>
        <v>12.3</v>
      </c>
    </row>
    <row r="7" spans="2:10">
      <c r="B7" s="67">
        <v>1299</v>
      </c>
      <c r="C7" s="67"/>
      <c r="D7" s="67">
        <f>MATCH(B7,'INDEX MATCH Master Emp List'!$A$2:$A$38,0)</f>
        <v>11</v>
      </c>
      <c r="F7" s="68" t="str">
        <f>INDEX('INDEX MATCH Master Emp List'!$B$1:$B$38,MATCH(B7,'INDEX MATCH Master Emp List'!$A$1:$A$38,0))</f>
        <v>Simpson</v>
      </c>
      <c r="G7" s="120">
        <f>INDEX('INDEX MATCH Master Emp List'!$H$1:$H$38,MATCH('INDEX MATCH Functions'!B7,'INDEX MATCH Master Emp List'!A4:A41,0))</f>
        <v>31051</v>
      </c>
      <c r="H7" s="68" t="str">
        <f>INDEX('INDEX MATCH Master Emp List'!$D$1:$D$38,MATCH('INDEX MATCH Functions'!B7,'INDEX MATCH Master Emp List'!$A$1:$A$38,0))</f>
        <v>MF</v>
      </c>
      <c r="I7" s="68" t="str">
        <f>INDEX('INDEX MATCH Master Emp List'!$G$1:$G$38,MATCH('INDEX MATCH Functions'!B7,'INDEX MATCH Master Emp List'!$A$1:$A$38,0))</f>
        <v>Building 1</v>
      </c>
      <c r="J7" s="68">
        <f>INDEX('INDEX MATCH Master Emp List'!$I$1:$I$38,MATCH('INDEX MATCH Functions'!B7,'INDEX MATCH Master Emp List'!$A$1:$A$38,0))</f>
        <v>12.2</v>
      </c>
    </row>
    <row r="8" spans="2:10">
      <c r="B8" s="67">
        <v>1329</v>
      </c>
      <c r="C8" s="67"/>
      <c r="D8" s="67">
        <f>MATCH(B8,'INDEX MATCH Master Emp List'!$A$2:$A$38,0)</f>
        <v>14</v>
      </c>
      <c r="F8" s="68" t="str">
        <f>INDEX('INDEX MATCH Master Emp List'!$B$1:$B$38,MATCH(B8,'INDEX MATCH Master Emp List'!$A$1:$A$38,0))</f>
        <v>Vuanuo</v>
      </c>
      <c r="G8" s="120">
        <f>INDEX('INDEX MATCH Master Emp List'!$H$1:$H$38,MATCH('INDEX MATCH Functions'!B8,'INDEX MATCH Master Emp List'!A5:A42,0))</f>
        <v>30939</v>
      </c>
      <c r="H8" s="68" t="str">
        <f>INDEX('INDEX MATCH Master Emp List'!$D$1:$D$38,MATCH('INDEX MATCH Functions'!B8,'INDEX MATCH Master Emp List'!$A$1:$A$38,0))</f>
        <v>AC</v>
      </c>
      <c r="I8" s="68" t="str">
        <f>INDEX('INDEX MATCH Master Emp List'!$G$1:$G$38,MATCH('INDEX MATCH Functions'!B8,'INDEX MATCH Master Emp List'!$A$1:$A$38,0))</f>
        <v>Building 2</v>
      </c>
      <c r="J8" s="68">
        <f>INDEX('INDEX MATCH Master Emp List'!$I$1:$I$38,MATCH('INDEX MATCH Functions'!B8,'INDEX MATCH Master Emp List'!$A$1:$A$38,0))</f>
        <v>10.35</v>
      </c>
    </row>
    <row r="9" spans="2:10">
      <c r="B9" s="67">
        <v>1509</v>
      </c>
      <c r="C9" s="67"/>
      <c r="D9" s="67">
        <f>MATCH(B9,'INDEX MATCH Master Emp List'!$A$2:$A$38,0)</f>
        <v>17</v>
      </c>
      <c r="F9" s="68" t="str">
        <f>INDEX('INDEX MATCH Master Emp List'!$B$1:$B$38,MATCH(B9,'INDEX MATCH Master Emp List'!$A$1:$A$38,0))</f>
        <v>Kegler</v>
      </c>
      <c r="G9" s="120">
        <f>INDEX('INDEX MATCH Master Emp List'!$H$1:$H$38,MATCH('INDEX MATCH Functions'!B9,'INDEX MATCH Master Emp List'!A6:A43,0))</f>
        <v>30900</v>
      </c>
      <c r="H9" s="68" t="str">
        <f>INDEX('INDEX MATCH Master Emp List'!$D$1:$D$38,MATCH('INDEX MATCH Functions'!B9,'INDEX MATCH Master Emp List'!$A$1:$A$38,0))</f>
        <v>AT</v>
      </c>
      <c r="I9" s="68" t="str">
        <f>INDEX('INDEX MATCH Master Emp List'!$G$1:$G$38,MATCH('INDEX MATCH Functions'!B9,'INDEX MATCH Master Emp List'!$A$1:$A$38,0))</f>
        <v>Building 1</v>
      </c>
      <c r="J9" s="68">
        <f>INDEX('INDEX MATCH Master Emp List'!$I$1:$I$38,MATCH('INDEX MATCH Functions'!B9,'INDEX MATCH Master Emp List'!$A$1:$A$38,0))</f>
        <v>13.25</v>
      </c>
    </row>
    <row r="10" spans="2:10">
      <c r="C10" s="67"/>
      <c r="D10" s="67"/>
    </row>
    <row r="11" spans="2:10">
      <c r="C11" s="67"/>
      <c r="D11" s="67"/>
    </row>
    <row r="12" spans="2:10">
      <c r="C12" s="67"/>
      <c r="D12" s="67"/>
    </row>
    <row r="13" spans="2:10">
      <c r="C13" s="67"/>
      <c r="D13" s="67"/>
    </row>
    <row r="14" spans="2:10">
      <c r="C14" s="67"/>
      <c r="D14" s="67"/>
    </row>
    <row r="15" spans="2:10">
      <c r="C15" s="67"/>
      <c r="D15" s="67"/>
    </row>
    <row r="16" spans="2:10">
      <c r="C16" s="67"/>
      <c r="D16" s="67"/>
    </row>
    <row r="17" spans="3:4">
      <c r="C17" s="67"/>
      <c r="D17" s="67"/>
    </row>
    <row r="18" spans="3:4">
      <c r="C18" s="67"/>
      <c r="D18" s="67"/>
    </row>
    <row r="19" spans="3:4">
      <c r="C19" s="67"/>
      <c r="D19" s="6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topLeftCell="A3" zoomScale="115" zoomScaleNormal="115" workbookViewId="0">
      <selection activeCell="K35" sqref="K35"/>
    </sheetView>
  </sheetViews>
  <sheetFormatPr baseColWidth="10" defaultColWidth="8.83203125" defaultRowHeight="14.25" customHeight="1"/>
  <cols>
    <col min="1" max="8" width="14.1640625" style="6" customWidth="1"/>
    <col min="9" max="9" width="14.16406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60" zoomScaleNormal="160" workbookViewId="0">
      <selection activeCell="G3" sqref="G3:G26"/>
    </sheetView>
  </sheetViews>
  <sheetFormatPr baseColWidth="10" defaultColWidth="8.83203125" defaultRowHeight="13"/>
  <cols>
    <col min="1" max="1" width="14.5" customWidth="1"/>
    <col min="2" max="2" width="27.83203125" bestFit="1" customWidth="1"/>
    <col min="3" max="3" width="12.5" customWidth="1"/>
    <col min="4" max="4" width="3.1640625" customWidth="1"/>
    <col min="5" max="5" width="11.83203125" customWidth="1"/>
    <col min="6" max="6" width="10.5" customWidth="1"/>
    <col min="7" max="7" width="14.5" customWidth="1"/>
    <col min="8" max="8" width="10.83203125" bestFit="1" customWidth="1"/>
  </cols>
  <sheetData>
    <row r="2" spans="1:8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 ht="14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RIGHT(A3,LEN(A3)-6)</f>
        <v>WW</v>
      </c>
      <c r="H3">
        <f>LEN(A3)</f>
        <v>8</v>
      </c>
    </row>
    <row r="4" spans="1:8" ht="14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>MID(A4,4,3)</f>
        <v>111</v>
      </c>
      <c r="G4" s="17" t="str">
        <f t="shared" ref="G4:G26" si="0">RIGHT(A4,LEN(A4)-6)</f>
        <v>WW</v>
      </c>
      <c r="H4">
        <f t="shared" ref="H4:H26" si="1">LEN(A4)</f>
        <v>8</v>
      </c>
    </row>
    <row r="5" spans="1:8" ht="14">
      <c r="A5" s="22" t="s">
        <v>171</v>
      </c>
      <c r="B5" s="23" t="s">
        <v>182</v>
      </c>
      <c r="C5" s="24">
        <v>10.89</v>
      </c>
      <c r="D5" s="37"/>
      <c r="E5" s="17" t="str">
        <f t="shared" ref="E5:E26" si="2">LEFT(A5,3)</f>
        <v>ACM</v>
      </c>
      <c r="F5" s="17" t="str">
        <f t="shared" ref="F5:F26" si="3">MID(A5,4,3)</f>
        <v>150</v>
      </c>
      <c r="G5" s="17" t="str">
        <f t="shared" si="0"/>
        <v>WW</v>
      </c>
      <c r="H5">
        <f t="shared" si="1"/>
        <v>8</v>
      </c>
    </row>
    <row r="6" spans="1:8" ht="14">
      <c r="A6" s="22" t="s">
        <v>172</v>
      </c>
      <c r="B6" s="23" t="s">
        <v>183</v>
      </c>
      <c r="C6" s="24">
        <v>9.75</v>
      </c>
      <c r="D6" s="37"/>
      <c r="E6" s="17" t="str">
        <f t="shared" si="2"/>
        <v>ACM</v>
      </c>
      <c r="F6" s="17" t="str">
        <f t="shared" si="3"/>
        <v>321</v>
      </c>
      <c r="G6" s="17" t="str">
        <f t="shared" si="0"/>
        <v>DP</v>
      </c>
      <c r="H6">
        <f t="shared" si="1"/>
        <v>8</v>
      </c>
    </row>
    <row r="7" spans="1:8" ht="14">
      <c r="A7" s="22" t="s">
        <v>173</v>
      </c>
      <c r="B7" s="23" t="s">
        <v>184</v>
      </c>
      <c r="C7" s="24">
        <v>9.59</v>
      </c>
      <c r="D7" s="37"/>
      <c r="E7" s="17" t="str">
        <f t="shared" si="2"/>
        <v>ACM</v>
      </c>
      <c r="F7" s="17" t="str">
        <f t="shared" si="3"/>
        <v>322</v>
      </c>
      <c r="G7" s="17" t="str">
        <f t="shared" si="0"/>
        <v>DP</v>
      </c>
      <c r="H7">
        <f t="shared" si="1"/>
        <v>8</v>
      </c>
    </row>
    <row r="8" spans="1:8" ht="14">
      <c r="A8" s="22" t="s">
        <v>174</v>
      </c>
      <c r="B8" s="23" t="s">
        <v>185</v>
      </c>
      <c r="C8" s="24">
        <v>10.4</v>
      </c>
      <c r="D8" s="37"/>
      <c r="E8" s="17" t="str">
        <f t="shared" si="2"/>
        <v>ACM</v>
      </c>
      <c r="F8" s="17" t="str">
        <f t="shared" si="3"/>
        <v>325</v>
      </c>
      <c r="G8" s="17" t="str">
        <f t="shared" si="0"/>
        <v>DP</v>
      </c>
      <c r="H8">
        <f t="shared" si="1"/>
        <v>8</v>
      </c>
    </row>
    <row r="9" spans="1:8" ht="14">
      <c r="A9" s="22" t="s">
        <v>175</v>
      </c>
      <c r="B9" s="23" t="s">
        <v>186</v>
      </c>
      <c r="C9" s="24">
        <v>10.56</v>
      </c>
      <c r="D9" s="37"/>
      <c r="E9" s="17" t="str">
        <f t="shared" si="2"/>
        <v>ACM</v>
      </c>
      <c r="F9" s="17" t="str">
        <f t="shared" si="3"/>
        <v>330</v>
      </c>
      <c r="G9" s="17" t="str">
        <f t="shared" si="0"/>
        <v>DP</v>
      </c>
      <c r="H9">
        <f t="shared" si="1"/>
        <v>8</v>
      </c>
    </row>
    <row r="10" spans="1:8" ht="14">
      <c r="A10" s="22" t="s">
        <v>176</v>
      </c>
      <c r="B10" s="23" t="s">
        <v>187</v>
      </c>
      <c r="C10" s="24">
        <v>9.75</v>
      </c>
      <c r="D10" s="37"/>
      <c r="E10" s="17" t="str">
        <f t="shared" si="2"/>
        <v>ACM</v>
      </c>
      <c r="F10" s="17" t="str">
        <f t="shared" si="3"/>
        <v>450</v>
      </c>
      <c r="G10" s="17" t="str">
        <f t="shared" si="0"/>
        <v>DP</v>
      </c>
      <c r="H10">
        <f t="shared" si="1"/>
        <v>8</v>
      </c>
    </row>
    <row r="11" spans="1:8" ht="14">
      <c r="A11" s="22" t="s">
        <v>177</v>
      </c>
      <c r="B11" s="23" t="s">
        <v>188</v>
      </c>
      <c r="C11" s="24">
        <v>9.75</v>
      </c>
      <c r="D11" s="37"/>
      <c r="E11" s="17" t="str">
        <f t="shared" si="2"/>
        <v>ACM</v>
      </c>
      <c r="F11" s="17" t="str">
        <f t="shared" si="3"/>
        <v>460</v>
      </c>
      <c r="G11" s="17" t="str">
        <f t="shared" si="0"/>
        <v>DP</v>
      </c>
      <c r="H11">
        <f t="shared" si="1"/>
        <v>8</v>
      </c>
    </row>
    <row r="12" spans="1:8" ht="14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2"/>
        <v>AST</v>
      </c>
      <c r="F12" s="17" t="str">
        <f t="shared" si="3"/>
        <v>530</v>
      </c>
      <c r="G12" s="17" t="str">
        <f t="shared" si="0"/>
        <v>OL</v>
      </c>
      <c r="H12">
        <f t="shared" si="1"/>
        <v>8</v>
      </c>
    </row>
    <row r="13" spans="1:8" ht="14">
      <c r="A13" s="22" t="s">
        <v>205</v>
      </c>
      <c r="B13" s="23" t="s">
        <v>190</v>
      </c>
      <c r="C13" s="24">
        <v>5.04</v>
      </c>
      <c r="D13" s="37"/>
      <c r="E13" s="17" t="str">
        <f t="shared" si="2"/>
        <v>AST</v>
      </c>
      <c r="F13" s="17" t="str">
        <f t="shared" si="3"/>
        <v>100</v>
      </c>
      <c r="G13" s="17" t="str">
        <f t="shared" si="0"/>
        <v>TF</v>
      </c>
      <c r="H13">
        <f t="shared" si="1"/>
        <v>8</v>
      </c>
    </row>
    <row r="14" spans="1:8" ht="14">
      <c r="A14" s="22" t="s">
        <v>206</v>
      </c>
      <c r="B14" s="23" t="s">
        <v>191</v>
      </c>
      <c r="C14" s="24">
        <v>3.9</v>
      </c>
      <c r="D14" s="37"/>
      <c r="E14" s="17" t="str">
        <f t="shared" si="2"/>
        <v>AST</v>
      </c>
      <c r="F14" s="17" t="str">
        <f t="shared" si="3"/>
        <v>130</v>
      </c>
      <c r="G14" s="17" t="str">
        <f t="shared" si="0"/>
        <v>OL</v>
      </c>
      <c r="H14">
        <f t="shared" si="1"/>
        <v>8</v>
      </c>
    </row>
    <row r="15" spans="1:8" ht="14">
      <c r="A15" s="22" t="s">
        <v>207</v>
      </c>
      <c r="B15" s="23" t="s">
        <v>192</v>
      </c>
      <c r="C15" s="24">
        <v>4.55</v>
      </c>
      <c r="D15" s="37"/>
      <c r="E15" s="17" t="str">
        <f t="shared" si="2"/>
        <v>AST</v>
      </c>
      <c r="F15" s="17" t="str">
        <f t="shared" si="3"/>
        <v>140</v>
      </c>
      <c r="G15" s="17" t="str">
        <f t="shared" si="0"/>
        <v>OL</v>
      </c>
      <c r="H15">
        <f t="shared" si="1"/>
        <v>8</v>
      </c>
    </row>
    <row r="16" spans="1:8" ht="14">
      <c r="A16" s="22" t="s">
        <v>208</v>
      </c>
      <c r="B16" s="23" t="s">
        <v>193</v>
      </c>
      <c r="C16" s="24">
        <v>5.2</v>
      </c>
      <c r="D16" s="37"/>
      <c r="E16" s="17" t="str">
        <f t="shared" si="2"/>
        <v>AST</v>
      </c>
      <c r="F16" s="17" t="str">
        <f t="shared" si="3"/>
        <v>300</v>
      </c>
      <c r="G16" s="17" t="str">
        <f t="shared" si="0"/>
        <v>GO</v>
      </c>
      <c r="H16">
        <f t="shared" si="1"/>
        <v>8</v>
      </c>
    </row>
    <row r="17" spans="1:8" ht="14">
      <c r="A17" s="22" t="s">
        <v>209</v>
      </c>
      <c r="B17" s="23" t="s">
        <v>194</v>
      </c>
      <c r="C17" s="24">
        <v>7.31</v>
      </c>
      <c r="D17" s="37"/>
      <c r="E17" s="17" t="str">
        <f t="shared" si="2"/>
        <v>AST</v>
      </c>
      <c r="F17" s="17" t="str">
        <f t="shared" si="3"/>
        <v>121</v>
      </c>
      <c r="G17" s="17" t="str">
        <f t="shared" si="0"/>
        <v>BF</v>
      </c>
      <c r="H17">
        <f t="shared" si="1"/>
        <v>8</v>
      </c>
    </row>
    <row r="18" spans="1:8" ht="14">
      <c r="A18" s="22" t="s">
        <v>210</v>
      </c>
      <c r="B18" s="23" t="s">
        <v>195</v>
      </c>
      <c r="C18" s="24">
        <v>6.5</v>
      </c>
      <c r="D18" s="37"/>
      <c r="E18" s="17" t="str">
        <f t="shared" si="2"/>
        <v>AST</v>
      </c>
      <c r="F18" s="17" t="str">
        <f t="shared" si="3"/>
        <v>132</v>
      </c>
      <c r="G18" s="17" t="str">
        <f t="shared" si="0"/>
        <v>PS</v>
      </c>
      <c r="H18">
        <f t="shared" si="1"/>
        <v>8</v>
      </c>
    </row>
    <row r="19" spans="1:8" ht="14">
      <c r="A19" s="22" t="s">
        <v>178</v>
      </c>
      <c r="B19" s="23" t="s">
        <v>196</v>
      </c>
      <c r="C19" s="24">
        <v>4.55</v>
      </c>
      <c r="D19" s="37"/>
      <c r="E19" s="17" t="str">
        <f t="shared" si="2"/>
        <v>AST</v>
      </c>
      <c r="F19" s="17" t="str">
        <f t="shared" si="3"/>
        <v>205</v>
      </c>
      <c r="G19" s="17" t="str">
        <f t="shared" si="0"/>
        <v>0995</v>
      </c>
      <c r="H19">
        <f t="shared" si="1"/>
        <v>10</v>
      </c>
    </row>
    <row r="20" spans="1:8" ht="14">
      <c r="A20" s="22" t="s">
        <v>211</v>
      </c>
      <c r="B20" s="23" t="s">
        <v>197</v>
      </c>
      <c r="C20" s="24">
        <v>14.3</v>
      </c>
      <c r="D20" s="37"/>
      <c r="E20" s="17" t="str">
        <f t="shared" si="2"/>
        <v>BVR</v>
      </c>
      <c r="F20" s="17" t="str">
        <f t="shared" si="3"/>
        <v>590</v>
      </c>
      <c r="G20" s="17" t="str">
        <f t="shared" si="0"/>
        <v>WF</v>
      </c>
      <c r="H20">
        <f t="shared" si="1"/>
        <v>8</v>
      </c>
    </row>
    <row r="21" spans="1:8" ht="14">
      <c r="A21" s="22" t="s">
        <v>212</v>
      </c>
      <c r="B21" s="23" t="s">
        <v>213</v>
      </c>
      <c r="C21" s="24">
        <v>13.81</v>
      </c>
      <c r="D21" s="37"/>
      <c r="E21" s="17" t="str">
        <f t="shared" si="2"/>
        <v>BVR</v>
      </c>
      <c r="F21" s="17" t="str">
        <f t="shared" si="3"/>
        <v>690</v>
      </c>
      <c r="G21" s="17" t="str">
        <f t="shared" si="0"/>
        <v>AF</v>
      </c>
      <c r="H21">
        <f t="shared" si="1"/>
        <v>8</v>
      </c>
    </row>
    <row r="22" spans="1:8" ht="14">
      <c r="A22" s="22" t="s">
        <v>217</v>
      </c>
      <c r="B22" s="23" t="s">
        <v>198</v>
      </c>
      <c r="C22" s="24">
        <v>7.31</v>
      </c>
      <c r="D22" s="37"/>
      <c r="E22" s="17" t="str">
        <f t="shared" si="2"/>
        <v>TRA</v>
      </c>
      <c r="F22" s="17" t="str">
        <f t="shared" si="3"/>
        <v>203</v>
      </c>
      <c r="G22" s="17" t="str">
        <f t="shared" si="0"/>
        <v>OF</v>
      </c>
      <c r="H22">
        <f t="shared" si="1"/>
        <v>8</v>
      </c>
    </row>
    <row r="23" spans="1:8" ht="14">
      <c r="A23" s="22" t="s">
        <v>218</v>
      </c>
      <c r="B23" s="23" t="s">
        <v>199</v>
      </c>
      <c r="C23" s="24">
        <v>7.31</v>
      </c>
      <c r="D23" s="37"/>
      <c r="E23" s="17" t="str">
        <f t="shared" si="2"/>
        <v>TRA</v>
      </c>
      <c r="F23" s="17" t="str">
        <f t="shared" si="3"/>
        <v>205</v>
      </c>
      <c r="G23" s="17" t="str">
        <f t="shared" si="0"/>
        <v>OF</v>
      </c>
      <c r="H23">
        <f t="shared" si="1"/>
        <v>8</v>
      </c>
    </row>
    <row r="24" spans="1:8" ht="14">
      <c r="A24" s="22" t="s">
        <v>214</v>
      </c>
      <c r="B24" s="23" t="s">
        <v>200</v>
      </c>
      <c r="C24" s="24">
        <v>7.31</v>
      </c>
      <c r="D24" s="37"/>
      <c r="E24" s="17" t="str">
        <f t="shared" si="2"/>
        <v>TRA</v>
      </c>
      <c r="F24" s="17" t="str">
        <f t="shared" si="3"/>
        <v>207</v>
      </c>
      <c r="G24" s="17" t="str">
        <f t="shared" si="0"/>
        <v>OF</v>
      </c>
      <c r="H24">
        <f t="shared" si="1"/>
        <v>8</v>
      </c>
    </row>
    <row r="25" spans="1:8" ht="14">
      <c r="A25" s="22" t="s">
        <v>215</v>
      </c>
      <c r="B25" s="23" t="s">
        <v>201</v>
      </c>
      <c r="C25" s="24">
        <v>7.64</v>
      </c>
      <c r="D25" s="37"/>
      <c r="E25" s="17" t="str">
        <f t="shared" si="2"/>
        <v>TRA</v>
      </c>
      <c r="F25" s="17" t="str">
        <f t="shared" si="3"/>
        <v>310</v>
      </c>
      <c r="G25" s="17" t="str">
        <f t="shared" si="0"/>
        <v>OF</v>
      </c>
      <c r="H25">
        <f t="shared" si="1"/>
        <v>8</v>
      </c>
    </row>
    <row r="26" spans="1:8" ht="14">
      <c r="A26" s="22" t="s">
        <v>216</v>
      </c>
      <c r="B26" s="23" t="s">
        <v>202</v>
      </c>
      <c r="C26" s="24">
        <v>6.14</v>
      </c>
      <c r="D26" s="37"/>
      <c r="E26" s="17" t="str">
        <f t="shared" si="2"/>
        <v>TRA</v>
      </c>
      <c r="F26" s="17" t="str">
        <f t="shared" si="3"/>
        <v>610</v>
      </c>
      <c r="G26" s="17" t="str">
        <f t="shared" si="0"/>
        <v>OF</v>
      </c>
      <c r="H26">
        <f t="shared" si="1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13"/>
  <sheetViews>
    <sheetView topLeftCell="A7" zoomScale="235" zoomScaleNormal="235" workbookViewId="0">
      <selection activeCell="B17" sqref="B17"/>
    </sheetView>
  </sheetViews>
  <sheetFormatPr baseColWidth="10" defaultColWidth="8.83203125" defaultRowHeight="13"/>
  <cols>
    <col min="1" max="1" width="14.1640625" bestFit="1" customWidth="1"/>
    <col min="2" max="2" width="13" bestFit="1" customWidth="1"/>
    <col min="3" max="3" width="12.83203125" bestFit="1" customWidth="1"/>
  </cols>
  <sheetData>
    <row r="1" spans="1:5" ht="16">
      <c r="A1" s="70" t="s">
        <v>242</v>
      </c>
      <c r="B1" s="70" t="s">
        <v>18</v>
      </c>
      <c r="C1" s="70" t="s">
        <v>17</v>
      </c>
    </row>
    <row r="2" spans="1:5">
      <c r="A2" t="s">
        <v>243</v>
      </c>
      <c r="B2" t="str">
        <f>LEFT(A2,SEARCH(" ",A2))</f>
        <v xml:space="preserve">Patrick </v>
      </c>
      <c r="C2" t="str">
        <f>RIGHT(A2,LEN(A2)-SEARCH(" ",A2))</f>
        <v>Marleau</v>
      </c>
      <c r="E2" s="121" t="s">
        <v>294</v>
      </c>
    </row>
    <row r="3" spans="1:5">
      <c r="A3" t="s">
        <v>244</v>
      </c>
      <c r="B3" t="str">
        <f>LEFT(A3,SEARCH(" ",A3))</f>
        <v xml:space="preserve">Joe </v>
      </c>
      <c r="C3" t="str">
        <f>RIGHT(A3,LEN(A3)-SEARCH(" ",A3))</f>
        <v>Thornton</v>
      </c>
    </row>
    <row r="4" spans="1:5">
      <c r="A4" t="s">
        <v>245</v>
      </c>
      <c r="B4" t="str">
        <f>LEFT(A4,SEARCH(" ",A4))</f>
        <v xml:space="preserve">Brent </v>
      </c>
      <c r="C4" t="str">
        <f>RIGHT(A4,LEN(A4)-SEARCH(" ",A4))</f>
        <v>Burns</v>
      </c>
    </row>
    <row r="5" spans="1:5">
      <c r="A5" t="s">
        <v>246</v>
      </c>
      <c r="B5" t="str">
        <f>LEFT(A5,SEARCH(" ",A5))</f>
        <v xml:space="preserve">Joe </v>
      </c>
      <c r="C5" t="str">
        <f>RIGHT(A5,LEN(A5)-SEARCH(" ",A5))</f>
        <v>Pavelski</v>
      </c>
    </row>
    <row r="6" spans="1:5">
      <c r="A6" t="s">
        <v>247</v>
      </c>
      <c r="B6" t="str">
        <f>LEFT(A6,SEARCH(" ",A6))</f>
        <v xml:space="preserve">Martin </v>
      </c>
      <c r="C6" t="str">
        <f>RIGHT(A6,LEN(A6)-SEARCH(" ",A6))</f>
        <v>Jones</v>
      </c>
    </row>
    <row r="8" spans="1:5" ht="16">
      <c r="A8" s="70" t="s">
        <v>242</v>
      </c>
      <c r="B8" s="70" t="s">
        <v>18</v>
      </c>
      <c r="C8" s="70" t="s">
        <v>17</v>
      </c>
    </row>
    <row r="9" spans="1:5">
      <c r="A9" t="s">
        <v>243</v>
      </c>
      <c r="B9" t="str" cm="1">
        <f t="array" ref="B9:C9">_xlfn.TEXTSPLIT(A9," ")</f>
        <v>Patrick</v>
      </c>
      <c r="C9" t="str">
        <v>Marleau</v>
      </c>
      <c r="E9" s="121" t="s">
        <v>295</v>
      </c>
    </row>
    <row r="10" spans="1:5">
      <c r="A10" t="s">
        <v>244</v>
      </c>
      <c r="B10" t="str" cm="1">
        <f t="array" ref="B10:C10">_xlfn.TEXTSPLIT(A10," ")</f>
        <v>Joe</v>
      </c>
      <c r="C10" t="str">
        <v>Thornton</v>
      </c>
    </row>
    <row r="11" spans="1:5">
      <c r="A11" t="s">
        <v>245</v>
      </c>
      <c r="B11" t="str" cm="1">
        <f t="array" ref="B11:C11">_xlfn.TEXTSPLIT(A11," ")</f>
        <v>Brent</v>
      </c>
      <c r="C11" t="str">
        <v>Burns</v>
      </c>
    </row>
    <row r="12" spans="1:5">
      <c r="A12" t="s">
        <v>246</v>
      </c>
      <c r="B12" t="str" cm="1">
        <f t="array" ref="B12:C12">_xlfn.TEXTSPLIT(A12," ")</f>
        <v>Joe</v>
      </c>
      <c r="C12" t="str">
        <v>Pavelski</v>
      </c>
    </row>
    <row r="13" spans="1:5">
      <c r="A13" t="s">
        <v>247</v>
      </c>
      <c r="B13" t="str" cm="1">
        <f t="array" ref="B13:C13">_xlfn.TEXTSPLIT(A13," ")</f>
        <v>Martin</v>
      </c>
      <c r="C13" t="str">
        <v>Jones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I18" sqref="I18"/>
    </sheetView>
  </sheetViews>
  <sheetFormatPr baseColWidth="10" defaultColWidth="8.83203125" defaultRowHeight="13"/>
  <cols>
    <col min="2" max="2" width="12.83203125" customWidth="1"/>
    <col min="3" max="3" width="12.1640625" customWidth="1"/>
    <col min="4" max="4" width="3.1640625" customWidth="1"/>
    <col min="6" max="6" width="15.5" customWidth="1"/>
  </cols>
  <sheetData>
    <row r="2" spans="2:6">
      <c r="B2" s="40" t="s">
        <v>17</v>
      </c>
      <c r="C2" s="40" t="s">
        <v>18</v>
      </c>
      <c r="E2" s="141" t="s">
        <v>166</v>
      </c>
      <c r="F2" s="141"/>
    </row>
    <row r="3" spans="2:6" ht="14">
      <c r="B3" s="25" t="s">
        <v>25</v>
      </c>
      <c r="C3" s="25" t="s">
        <v>26</v>
      </c>
      <c r="E3" s="139" t="str">
        <f>CONCATENATE(C3," ",B3)</f>
        <v>Howard Smith</v>
      </c>
      <c r="F3" s="140"/>
    </row>
    <row r="4" spans="2:6" ht="14">
      <c r="B4" s="25" t="s">
        <v>30</v>
      </c>
      <c r="C4" s="25" t="s">
        <v>31</v>
      </c>
      <c r="E4" s="139" t="str">
        <f>CONCATENATE(C4," ",B4)</f>
        <v>Joe Gonzales</v>
      </c>
      <c r="F4" s="140"/>
    </row>
    <row r="5" spans="2:6" ht="14">
      <c r="B5" s="25" t="s">
        <v>33</v>
      </c>
      <c r="C5" s="25" t="s">
        <v>34</v>
      </c>
      <c r="E5" s="139" t="str">
        <f t="shared" ref="E5:E18" si="0">CONCATENATE(C5," ",B5)</f>
        <v>Gail Scote</v>
      </c>
      <c r="F5" s="140"/>
    </row>
    <row r="6" spans="2:6" ht="14">
      <c r="B6" s="25" t="s">
        <v>36</v>
      </c>
      <c r="C6" s="25" t="s">
        <v>37</v>
      </c>
      <c r="E6" s="139" t="str">
        <f t="shared" si="0"/>
        <v>Sheryl Kane</v>
      </c>
      <c r="F6" s="140"/>
    </row>
    <row r="7" spans="2:6" ht="14">
      <c r="B7" s="25" t="s">
        <v>41</v>
      </c>
      <c r="C7" s="25" t="s">
        <v>42</v>
      </c>
      <c r="E7" s="139" t="str">
        <f t="shared" si="0"/>
        <v>Kendrick Hapsbuch</v>
      </c>
      <c r="F7" s="140"/>
    </row>
    <row r="8" spans="2:6" ht="14">
      <c r="B8" s="25" t="s">
        <v>45</v>
      </c>
      <c r="C8" s="25" t="s">
        <v>46</v>
      </c>
      <c r="E8" s="139" t="str">
        <f t="shared" si="0"/>
        <v>Mark Henders</v>
      </c>
      <c r="F8" s="140"/>
    </row>
    <row r="9" spans="2:6" ht="14">
      <c r="B9" s="25" t="s">
        <v>48</v>
      </c>
      <c r="C9" s="25" t="s">
        <v>49</v>
      </c>
      <c r="E9" s="139" t="str">
        <f t="shared" si="0"/>
        <v>Katie Atherton</v>
      </c>
      <c r="F9" s="140"/>
    </row>
    <row r="10" spans="2:6" ht="14">
      <c r="B10" s="25" t="s">
        <v>52</v>
      </c>
      <c r="C10" s="25" t="s">
        <v>53</v>
      </c>
      <c r="E10" s="139" t="str">
        <f t="shared" si="0"/>
        <v>Frank Bellwood</v>
      </c>
      <c r="F10" s="140"/>
    </row>
    <row r="11" spans="2:6" ht="14">
      <c r="B11" s="25" t="s">
        <v>56</v>
      </c>
      <c r="C11" s="25" t="s">
        <v>57</v>
      </c>
      <c r="E11" s="139" t="str">
        <f t="shared" si="0"/>
        <v>Linda Cooper</v>
      </c>
      <c r="F11" s="140"/>
    </row>
    <row r="12" spans="2:6" ht="14">
      <c r="B12" s="25" t="s">
        <v>59</v>
      </c>
      <c r="C12" s="25" t="s">
        <v>60</v>
      </c>
      <c r="E12" s="139" t="str">
        <f t="shared" si="0"/>
        <v>Brent Cronwith</v>
      </c>
      <c r="F12" s="140"/>
    </row>
    <row r="13" spans="2:6" ht="14">
      <c r="B13" s="25" t="s">
        <v>62</v>
      </c>
      <c r="C13" s="25" t="s">
        <v>63</v>
      </c>
      <c r="E13" s="139" t="str">
        <f t="shared" si="0"/>
        <v>Sandrae Simpson</v>
      </c>
      <c r="F13" s="140"/>
    </row>
    <row r="14" spans="2:6" ht="14">
      <c r="B14" s="25" t="s">
        <v>66</v>
      </c>
      <c r="C14" s="25" t="s">
        <v>67</v>
      </c>
      <c r="E14" s="139" t="str">
        <f t="shared" si="0"/>
        <v>Randy Sindole</v>
      </c>
      <c r="F14" s="140"/>
    </row>
    <row r="15" spans="2:6" ht="14">
      <c r="B15" s="25" t="s">
        <v>25</v>
      </c>
      <c r="C15" s="25" t="s">
        <v>69</v>
      </c>
      <c r="E15" s="139" t="str">
        <f t="shared" si="0"/>
        <v>Ellen Smith</v>
      </c>
      <c r="F15" s="140"/>
    </row>
    <row r="16" spans="2:6" ht="14">
      <c r="B16" s="25" t="s">
        <v>71</v>
      </c>
      <c r="C16" s="25" t="s">
        <v>72</v>
      </c>
      <c r="E16" s="139" t="str">
        <f t="shared" si="0"/>
        <v>Tuome Vuanuo</v>
      </c>
      <c r="F16" s="140"/>
    </row>
    <row r="17" spans="2:6" ht="14">
      <c r="B17" s="25" t="s">
        <v>74</v>
      </c>
      <c r="C17" s="25" t="s">
        <v>75</v>
      </c>
      <c r="E17" s="139" t="str">
        <f t="shared" si="0"/>
        <v>Tadeuz Szcznyck</v>
      </c>
      <c r="F17" s="140"/>
    </row>
    <row r="18" spans="2:6" ht="14">
      <c r="B18" s="25" t="s">
        <v>77</v>
      </c>
      <c r="C18" s="25" t="s">
        <v>78</v>
      </c>
      <c r="E18" s="139" t="str">
        <f t="shared" si="0"/>
        <v>Tammy Wu</v>
      </c>
      <c r="F18" s="140"/>
    </row>
  </sheetData>
  <mergeCells count="17"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E18:F18"/>
    <mergeCell ref="E14:F14"/>
    <mergeCell ref="E15:F15"/>
    <mergeCell ref="E16:F16"/>
    <mergeCell ref="E17:F17"/>
  </mergeCells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45" zoomScaleNormal="145" workbookViewId="0">
      <selection activeCell="E17" sqref="E17"/>
    </sheetView>
  </sheetViews>
  <sheetFormatPr baseColWidth="10" defaultColWidth="8.83203125" defaultRowHeight="13"/>
  <cols>
    <col min="1" max="1" width="15.5" customWidth="1"/>
    <col min="2" max="2" width="11.33203125" customWidth="1"/>
    <col min="3" max="3" width="11.5" customWidth="1"/>
    <col min="4" max="4" width="11.83203125" customWidth="1"/>
    <col min="5" max="5" width="11.6640625" bestFit="1" customWidth="1"/>
    <col min="6" max="6" width="11.33203125" customWidth="1"/>
    <col min="7" max="7" width="1.1640625" customWidth="1"/>
    <col min="8" max="8" width="20.1640625" customWidth="1"/>
    <col min="9" max="9" width="15.83203125" customWidth="1"/>
  </cols>
  <sheetData>
    <row r="1" spans="1:9" ht="14" thickBot="1"/>
    <row r="2" spans="1:9" ht="17" thickBot="1">
      <c r="A2" s="135" t="s">
        <v>222</v>
      </c>
      <c r="B2" s="135"/>
      <c r="C2" s="135"/>
      <c r="D2" s="135"/>
      <c r="E2" s="135"/>
      <c r="F2" s="135"/>
      <c r="H2" s="28" t="s">
        <v>0</v>
      </c>
      <c r="I2" s="45">
        <v>34000</v>
      </c>
    </row>
    <row r="3" spans="1:9" ht="1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6">
      <c r="A5" s="5" t="s">
        <v>9</v>
      </c>
      <c r="B5" s="123">
        <v>9550</v>
      </c>
      <c r="C5" s="123">
        <v>9230</v>
      </c>
      <c r="D5" s="123">
        <v>8500</v>
      </c>
      <c r="E5" s="123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6">
      <c r="A6" s="5" t="s">
        <v>10</v>
      </c>
      <c r="B6" s="123">
        <v>5975</v>
      </c>
      <c r="C6" s="123">
        <v>6900</v>
      </c>
      <c r="D6" s="123">
        <v>8500</v>
      </c>
      <c r="E6" s="123">
        <v>10100</v>
      </c>
      <c r="F6" s="15">
        <f>SUM(B6:E6)</f>
        <v>31475</v>
      </c>
      <c r="H6" s="1" t="str">
        <f>IF(F6&gt;=$I$2,"YES", "NO")</f>
        <v>NO</v>
      </c>
      <c r="I6" s="2" t="str">
        <f>IF(AND(H6="YES", MIN(B6:E6)&gt;=8000), "BONUS", "NO BONUS")</f>
        <v>NO BONUS</v>
      </c>
    </row>
    <row r="7" spans="1:9" ht="16">
      <c r="A7" s="5" t="s">
        <v>11</v>
      </c>
      <c r="B7" s="123">
        <v>7425</v>
      </c>
      <c r="C7" s="123">
        <v>8580</v>
      </c>
      <c r="D7" s="123">
        <v>9910</v>
      </c>
      <c r="E7" s="123">
        <v>7512</v>
      </c>
      <c r="F7" s="15">
        <f>SUM(B7:E7)</f>
        <v>33427</v>
      </c>
      <c r="H7" s="1" t="str">
        <f>IF(F7&gt;=$I$2,"YES", "NO")</f>
        <v>NO</v>
      </c>
      <c r="I7" s="2" t="str">
        <f>IF(AND(H7="YES", MIN(B7:E7)&gt;=8000), "BONUS", "NO BONUS")</f>
        <v>NO BONUS</v>
      </c>
    </row>
    <row r="8" spans="1:9" ht="16">
      <c r="A8" s="5" t="s">
        <v>15</v>
      </c>
      <c r="B8" s="123">
        <v>9560</v>
      </c>
      <c r="C8" s="123">
        <v>10150</v>
      </c>
      <c r="D8" s="123">
        <v>10200</v>
      </c>
      <c r="E8" s="123">
        <v>9795</v>
      </c>
      <c r="F8" s="15">
        <f>SUM(B8:E8)</f>
        <v>39705</v>
      </c>
      <c r="H8" s="1" t="str">
        <f>IF(F8&gt;=$I$2,"YES", "NO")</f>
        <v>YES</v>
      </c>
      <c r="I8" s="2" t="str">
        <f>IF(AND(H8="YES", MIN(B8:E8)&gt;=8000), "BONUS", "NO BONUS")</f>
        <v>BONUS</v>
      </c>
    </row>
    <row r="9" spans="1:9" ht="17" thickBot="1">
      <c r="A9" s="16" t="s">
        <v>14</v>
      </c>
      <c r="B9" s="124">
        <v>7892</v>
      </c>
      <c r="C9" s="124">
        <v>7695</v>
      </c>
      <c r="D9" s="124">
        <v>9520</v>
      </c>
      <c r="E9" s="124">
        <v>10252</v>
      </c>
      <c r="F9" s="51">
        <f>SUM(B9:E9)</f>
        <v>35359</v>
      </c>
      <c r="H9" s="1" t="str">
        <f>IF(F9&gt;=$I$2,"YES", "NO")</f>
        <v>YES</v>
      </c>
      <c r="I9" s="2" t="str">
        <f>IF(AND(H9="YES", MIN(B9:E9)&gt;=8000), "BONUS", "NO BONUS")</f>
        <v>NO BONUS</v>
      </c>
    </row>
    <row r="10" spans="1:9" ht="14">
      <c r="A10" s="48" t="s">
        <v>223</v>
      </c>
      <c r="B10" s="53">
        <f>SUM(B5:B9)</f>
        <v>40402</v>
      </c>
      <c r="C10" s="53">
        <f>SUM(C5:C9)</f>
        <v>42555</v>
      </c>
      <c r="D10" s="53">
        <f>SUM(D5:D9)</f>
        <v>46630</v>
      </c>
      <c r="E10" s="53">
        <f>SUM(E5:E9)</f>
        <v>46624</v>
      </c>
      <c r="F10" s="53">
        <f>SUM(F5:F9)</f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32" t="s">
        <v>13</v>
      </c>
      <c r="B14" s="133"/>
      <c r="C14" s="133"/>
      <c r="D14" s="133"/>
      <c r="E14" s="134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295" zoomScaleNormal="295" workbookViewId="0">
      <selection activeCell="B2" sqref="B2"/>
    </sheetView>
  </sheetViews>
  <sheetFormatPr baseColWidth="10" defaultColWidth="8.83203125" defaultRowHeight="13"/>
  <cols>
    <col min="1" max="1" width="20.33203125" bestFit="1" customWidth="1"/>
    <col min="2" max="2" width="12.6640625" bestFit="1" customWidth="1"/>
  </cols>
  <sheetData>
    <row r="2" spans="1:2">
      <c r="A2" s="69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45" zoomScaleNormal="145" workbookViewId="0">
      <selection activeCell="B5" sqref="B5"/>
    </sheetView>
  </sheetViews>
  <sheetFormatPr baseColWidth="10" defaultColWidth="8.83203125" defaultRowHeight="13"/>
  <cols>
    <col min="1" max="1" width="15.5" customWidth="1"/>
    <col min="2" max="2" width="11.33203125" customWidth="1"/>
    <col min="3" max="3" width="11.5" customWidth="1"/>
    <col min="4" max="4" width="11.83203125" customWidth="1"/>
    <col min="5" max="5" width="11.6640625" bestFit="1" customWidth="1"/>
    <col min="6" max="6" width="11.33203125" customWidth="1"/>
    <col min="7" max="7" width="1.1640625" customWidth="1"/>
    <col min="8" max="8" width="20.1640625" customWidth="1"/>
    <col min="9" max="9" width="15.83203125" customWidth="1"/>
  </cols>
  <sheetData>
    <row r="1" spans="1:9" ht="14" thickBot="1"/>
    <row r="2" spans="1:9" ht="17" thickBot="1">
      <c r="A2" s="135" t="s">
        <v>222</v>
      </c>
      <c r="B2" s="135"/>
      <c r="C2" s="135"/>
      <c r="D2" s="135"/>
      <c r="E2" s="135"/>
      <c r="F2" s="135"/>
      <c r="H2" s="28" t="s">
        <v>0</v>
      </c>
      <c r="I2" s="45">
        <v>34000</v>
      </c>
    </row>
    <row r="3" spans="1:9" ht="1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6">
      <c r="A5" s="5" t="s">
        <v>9</v>
      </c>
      <c r="B5" s="71">
        <v>9550</v>
      </c>
      <c r="C5" s="71">
        <v>9230</v>
      </c>
      <c r="D5" s="71">
        <v>8500</v>
      </c>
      <c r="E5" s="71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6">
      <c r="A6" s="5" t="s">
        <v>10</v>
      </c>
      <c r="B6" s="71">
        <v>5975</v>
      </c>
      <c r="C6" s="71">
        <v>6900</v>
      </c>
      <c r="D6" s="71">
        <v>8500</v>
      </c>
      <c r="E6" s="71">
        <v>10100</v>
      </c>
      <c r="F6" s="15">
        <f>SUM(B6:E6)</f>
        <v>31475</v>
      </c>
      <c r="H6" s="1" t="str">
        <f>IF(F6&gt;=$I$2,"YES", "NO")</f>
        <v>NO</v>
      </c>
      <c r="I6" s="2" t="str">
        <f>IF(AND(H6="YES", MIN(B6:E6)&gt;=8000), "BONUS", "NO BONUS")</f>
        <v>NO BONUS</v>
      </c>
    </row>
    <row r="7" spans="1:9" ht="16">
      <c r="A7" s="5" t="s">
        <v>11</v>
      </c>
      <c r="B7" s="71">
        <v>7425</v>
      </c>
      <c r="C7" s="71">
        <v>8580</v>
      </c>
      <c r="D7" s="71">
        <v>9910</v>
      </c>
      <c r="E7" s="71">
        <v>7512</v>
      </c>
      <c r="F7" s="15">
        <f>SUM(B7:E7)</f>
        <v>33427</v>
      </c>
      <c r="H7" s="1" t="str">
        <f>IF(F7&gt;=$I$2,"YES", "NO")</f>
        <v>NO</v>
      </c>
      <c r="I7" s="2" t="str">
        <f>IF(AND(H7="YES", MIN(B7:E7)&gt;=8000), "BONUS", "NO BONUS")</f>
        <v>NO BONUS</v>
      </c>
    </row>
    <row r="8" spans="1:9" ht="16">
      <c r="A8" s="5" t="s">
        <v>15</v>
      </c>
      <c r="B8" s="71">
        <v>9560</v>
      </c>
      <c r="C8" s="71">
        <v>10150</v>
      </c>
      <c r="D8" s="71">
        <v>10200</v>
      </c>
      <c r="E8" s="71">
        <v>9795</v>
      </c>
      <c r="F8" s="15">
        <f>SUM(B8:E8)</f>
        <v>39705</v>
      </c>
      <c r="H8" s="1" t="str">
        <f>IF(F8&gt;=$I$2,"YES", "NO")</f>
        <v>YES</v>
      </c>
      <c r="I8" s="2" t="str">
        <f>IF(AND(H8="YES", MIN(B8:E8)&gt;=8000), "BONUS", "NO BONUS")</f>
        <v>BONUS</v>
      </c>
    </row>
    <row r="9" spans="1:9" ht="17" thickBot="1">
      <c r="A9" s="16" t="s">
        <v>14</v>
      </c>
      <c r="B9" s="72">
        <v>7892</v>
      </c>
      <c r="C9" s="72">
        <v>7695</v>
      </c>
      <c r="D9" s="72">
        <v>9520</v>
      </c>
      <c r="E9" s="72">
        <v>10252</v>
      </c>
      <c r="F9" s="51">
        <f>SUM(B9:E9)</f>
        <v>35359</v>
      </c>
      <c r="H9" s="1" t="str">
        <f>IF(F9&gt;=$I$2,"YES", "NO")</f>
        <v>YES</v>
      </c>
      <c r="I9" s="2" t="str">
        <f>IF(AND(H9="YES", MIN(B9:E9)&gt;=8000), "BONUS", "NO BONUS")</f>
        <v>NO BONUS</v>
      </c>
    </row>
    <row r="10" spans="1:9" ht="14">
      <c r="A10" s="48" t="s">
        <v>223</v>
      </c>
      <c r="B10" s="53">
        <f>SUM(B5:B9)</f>
        <v>40402</v>
      </c>
      <c r="C10" s="53">
        <f>SUM(C5:C9)</f>
        <v>42555</v>
      </c>
      <c r="D10" s="53">
        <f>SUM(D5:D9)</f>
        <v>46630</v>
      </c>
      <c r="E10" s="53">
        <f>SUM(E5:E9)</f>
        <v>46624</v>
      </c>
      <c r="F10" s="53">
        <f>SUM(F5:F9)</f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32" t="s">
        <v>13</v>
      </c>
      <c r="B14" s="133"/>
      <c r="C14" s="133"/>
      <c r="D14" s="133"/>
      <c r="E14" s="134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50" zoomScaleNormal="250" workbookViewId="0">
      <selection activeCell="B3" sqref="B3"/>
    </sheetView>
  </sheetViews>
  <sheetFormatPr baseColWidth="10" defaultColWidth="8.83203125" defaultRowHeight="13"/>
  <cols>
    <col min="1" max="1" width="18" bestFit="1" customWidth="1"/>
    <col min="2" max="2" width="10" bestFit="1" customWidth="1"/>
    <col min="4" max="4" width="12.33203125" bestFit="1" customWidth="1"/>
  </cols>
  <sheetData>
    <row r="1" spans="1:4" ht="14" thickBot="1"/>
    <row r="2" spans="1:4">
      <c r="A2" s="95" t="s">
        <v>254</v>
      </c>
      <c r="B2" s="91">
        <v>220000</v>
      </c>
      <c r="C2" s="73"/>
      <c r="D2" s="94" t="s">
        <v>253</v>
      </c>
    </row>
    <row r="3" spans="1:4" ht="14" thickBot="1">
      <c r="A3" s="95" t="s">
        <v>252</v>
      </c>
      <c r="B3" s="125">
        <v>2.6172696172317447E-2</v>
      </c>
      <c r="C3" s="73"/>
      <c r="D3" s="93">
        <f>-PMT(B3/12,B4,B2)</f>
        <v>1000.0000235953831</v>
      </c>
    </row>
    <row r="4" spans="1:4">
      <c r="A4" s="95" t="s">
        <v>251</v>
      </c>
      <c r="B4" s="92">
        <v>300</v>
      </c>
      <c r="C4" s="73"/>
      <c r="D4" s="7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30" zoomScaleNormal="130" workbookViewId="0">
      <selection activeCell="H8" sqref="H8"/>
    </sheetView>
  </sheetViews>
  <sheetFormatPr baseColWidth="10" defaultColWidth="9.1640625" defaultRowHeight="13"/>
  <cols>
    <col min="1" max="1" width="25.5" style="77" customWidth="1"/>
    <col min="2" max="2" width="10.1640625" style="77" customWidth="1"/>
    <col min="3" max="3" width="10.5" style="77" customWidth="1"/>
    <col min="4" max="4" width="10.33203125" style="77" customWidth="1"/>
    <col min="5" max="5" width="9.33203125" style="77" customWidth="1"/>
    <col min="6" max="6" width="8.83203125" style="77" customWidth="1"/>
    <col min="7" max="7" width="11.33203125" style="77" customWidth="1"/>
    <col min="8" max="8" width="15.6640625" style="77" customWidth="1"/>
    <col min="9" max="16384" width="9.1640625" style="77"/>
  </cols>
  <sheetData>
    <row r="1" spans="1:8" ht="10.5" customHeight="1">
      <c r="A1" s="90"/>
      <c r="B1" s="89"/>
      <c r="C1" s="89"/>
      <c r="D1" s="89"/>
      <c r="E1" s="89"/>
      <c r="F1" s="89"/>
      <c r="G1" s="89"/>
    </row>
    <row r="2" spans="1:8" ht="11.25" customHeight="1" thickBot="1"/>
    <row r="3" spans="1:8" ht="15.75" customHeight="1">
      <c r="G3" s="99" t="s">
        <v>272</v>
      </c>
      <c r="H3" s="100" t="s">
        <v>279</v>
      </c>
    </row>
    <row r="4" spans="1:8" ht="17" thickBot="1">
      <c r="A4" s="88" t="s">
        <v>278</v>
      </c>
      <c r="B4" s="98" t="s">
        <v>277</v>
      </c>
      <c r="C4" s="98" t="s">
        <v>276</v>
      </c>
      <c r="D4" s="98" t="s">
        <v>275</v>
      </c>
      <c r="E4" s="98" t="s">
        <v>274</v>
      </c>
      <c r="F4" s="73"/>
      <c r="G4" s="101" t="s">
        <v>273</v>
      </c>
      <c r="H4" s="102" t="s">
        <v>272</v>
      </c>
    </row>
    <row r="5" spans="1:8" ht="16">
      <c r="A5" s="86" t="s">
        <v>271</v>
      </c>
      <c r="B5" s="85">
        <v>1</v>
      </c>
      <c r="C5" s="85">
        <v>1</v>
      </c>
      <c r="D5" s="85">
        <v>1</v>
      </c>
      <c r="E5" s="85">
        <v>1</v>
      </c>
      <c r="F5" s="73"/>
      <c r="G5" s="84">
        <v>1.25</v>
      </c>
      <c r="H5" s="83">
        <f>G5*(B5+C5+D5+E5)</f>
        <v>5</v>
      </c>
    </row>
    <row r="6" spans="1:8" ht="16">
      <c r="A6" s="86" t="s">
        <v>270</v>
      </c>
      <c r="B6" s="87">
        <v>0</v>
      </c>
      <c r="C6" s="85">
        <v>0</v>
      </c>
      <c r="D6" s="85">
        <v>0</v>
      </c>
      <c r="E6" s="85">
        <v>0</v>
      </c>
      <c r="F6" s="73"/>
      <c r="G6" s="84">
        <v>1.84</v>
      </c>
      <c r="H6" s="83">
        <f>G6*(B6+C6+D6+E6)</f>
        <v>0</v>
      </c>
    </row>
    <row r="7" spans="1:8" ht="16">
      <c r="A7" s="86" t="s">
        <v>269</v>
      </c>
      <c r="B7" s="85">
        <v>0</v>
      </c>
      <c r="C7" s="85">
        <v>0</v>
      </c>
      <c r="D7" s="85">
        <v>0</v>
      </c>
      <c r="E7" s="85">
        <v>0</v>
      </c>
      <c r="F7" s="73"/>
      <c r="G7" s="84">
        <v>1.45</v>
      </c>
      <c r="H7" s="83">
        <f>G7*(B7+C7+D7+E7)</f>
        <v>0</v>
      </c>
    </row>
    <row r="8" spans="1:8" ht="16">
      <c r="A8" s="96" t="s">
        <v>268</v>
      </c>
      <c r="B8" s="82">
        <f>SUM(B5:B7)</f>
        <v>1</v>
      </c>
      <c r="C8" s="82">
        <f>SUM(C5:C7)</f>
        <v>1</v>
      </c>
      <c r="D8" s="82">
        <f>SUM(D5:D7)</f>
        <v>1</v>
      </c>
      <c r="E8" s="82">
        <f>SUM(E5:E7)</f>
        <v>1</v>
      </c>
      <c r="F8" s="73"/>
      <c r="G8" s="81"/>
      <c r="H8" s="103">
        <f>H5+H6+H7</f>
        <v>5</v>
      </c>
    </row>
    <row r="9" spans="1:8" ht="4.5" customHeight="1">
      <c r="A9" s="80"/>
      <c r="B9" s="79"/>
      <c r="C9" s="79"/>
      <c r="D9" s="79"/>
      <c r="E9" s="79"/>
      <c r="F9" s="73"/>
    </row>
    <row r="10" spans="1:8" ht="16">
      <c r="A10" s="97" t="s">
        <v>267</v>
      </c>
      <c r="B10" s="104">
        <v>180</v>
      </c>
      <c r="C10" s="104">
        <v>80</v>
      </c>
      <c r="D10" s="104">
        <v>190</v>
      </c>
      <c r="E10" s="104">
        <v>160</v>
      </c>
      <c r="F10" s="73"/>
    </row>
    <row r="11" spans="1:8" ht="16">
      <c r="A11" s="78"/>
      <c r="F11" s="73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tabSelected="1" zoomScale="145" zoomScaleNormal="145" workbookViewId="0">
      <selection activeCell="B7" sqref="B7:C14"/>
    </sheetView>
  </sheetViews>
  <sheetFormatPr baseColWidth="10" defaultColWidth="9.1640625" defaultRowHeight="13"/>
  <cols>
    <col min="1" max="1" width="9.1640625" style="73"/>
    <col min="2" max="2" width="17.5" style="73" bestFit="1" customWidth="1"/>
    <col min="3" max="6" width="12.5" style="73" customWidth="1"/>
    <col min="7" max="16384" width="9.1640625" style="73"/>
  </cols>
  <sheetData>
    <row r="2" spans="2:3">
      <c r="B2" s="95" t="s">
        <v>254</v>
      </c>
      <c r="C2" s="105">
        <v>220000</v>
      </c>
    </row>
    <row r="3" spans="2:3">
      <c r="B3" s="95" t="s">
        <v>252</v>
      </c>
      <c r="C3" s="106">
        <v>0.08</v>
      </c>
    </row>
    <row r="4" spans="2:3">
      <c r="B4" s="95" t="s">
        <v>251</v>
      </c>
      <c r="C4" s="107">
        <f>25*12</f>
        <v>300</v>
      </c>
    </row>
    <row r="6" spans="2:3">
      <c r="C6" s="75"/>
    </row>
    <row r="7" spans="2:3" ht="16">
      <c r="B7" s="109" t="s">
        <v>250</v>
      </c>
      <c r="C7" s="108">
        <f>-PMT(C3/12,C4,C2)</f>
        <v>1697.9956826206067</v>
      </c>
    </row>
    <row r="8" spans="2:3" ht="16">
      <c r="B8" s="74">
        <v>7.2499999999999995E-2</v>
      </c>
      <c r="C8" s="12">
        <f t="dataTable" ref="C8:C14" dt2D="0" dtr="0" r1="C3"/>
        <v>1590.1751010137643</v>
      </c>
    </row>
    <row r="9" spans="2:3" ht="16">
      <c r="B9" s="74">
        <v>7.4999999999999997E-2</v>
      </c>
      <c r="C9" s="12">
        <v>1625.7805911544106</v>
      </c>
    </row>
    <row r="10" spans="2:3" ht="16">
      <c r="B10" s="74">
        <v>7.7499999999999999E-2</v>
      </c>
      <c r="C10" s="12">
        <v>1661.7232770342728</v>
      </c>
    </row>
    <row r="11" spans="2:3" ht="16">
      <c r="B11" s="74">
        <v>8.2500000000000004E-2</v>
      </c>
      <c r="C11" s="12">
        <v>1734.5902963096128</v>
      </c>
    </row>
    <row r="12" spans="2:3" ht="16">
      <c r="B12" s="74">
        <v>8.5000000000000006E-2</v>
      </c>
      <c r="C12" s="12">
        <v>1771.4995836166886</v>
      </c>
    </row>
    <row r="13" spans="2:3" ht="16">
      <c r="B13" s="74">
        <v>8.7499999999999994E-2</v>
      </c>
      <c r="C13" s="12">
        <v>1808.7159994580018</v>
      </c>
    </row>
    <row r="14" spans="2:3" ht="16">
      <c r="B14" s="74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45" zoomScaleNormal="145" workbookViewId="0">
      <selection activeCell="D5" sqref="D5"/>
    </sheetView>
  </sheetViews>
  <sheetFormatPr baseColWidth="10" defaultColWidth="9.1640625" defaultRowHeight="13"/>
  <cols>
    <col min="1" max="1" width="9.1640625" style="73"/>
    <col min="2" max="2" width="11.5" style="73" customWidth="1"/>
    <col min="3" max="6" width="14.83203125" style="73" bestFit="1" customWidth="1"/>
    <col min="7" max="7" width="16.6640625" style="73" bestFit="1" customWidth="1"/>
    <col min="8" max="16384" width="9.1640625" style="73"/>
  </cols>
  <sheetData>
    <row r="2" spans="2:7" ht="16">
      <c r="B2" s="109" t="s">
        <v>266</v>
      </c>
      <c r="C2" s="109" t="s">
        <v>265</v>
      </c>
      <c r="D2" s="109" t="s">
        <v>264</v>
      </c>
      <c r="E2" s="109" t="s">
        <v>263</v>
      </c>
      <c r="F2" s="109" t="s">
        <v>262</v>
      </c>
      <c r="G2" s="109" t="s">
        <v>261</v>
      </c>
    </row>
    <row r="3" spans="2:7">
      <c r="B3" s="110" t="s">
        <v>258</v>
      </c>
      <c r="C3" s="111">
        <v>85292.25</v>
      </c>
      <c r="D3" s="111">
        <f>C3*C11+C3</f>
        <v>92115.63</v>
      </c>
      <c r="E3" s="111">
        <f>D3*C11+D3</f>
        <v>99484.880400000009</v>
      </c>
      <c r="F3" s="111">
        <f>E3*C11+E3</f>
        <v>107443.670832</v>
      </c>
      <c r="G3" s="111">
        <f>SUM(C3:F3)</f>
        <v>384336.431232</v>
      </c>
    </row>
    <row r="4" spans="2:7">
      <c r="B4" s="110" t="s">
        <v>257</v>
      </c>
      <c r="C4" s="111">
        <v>75891.25</v>
      </c>
      <c r="D4" s="111">
        <f>C4*C12+C4</f>
        <v>78926.899999999994</v>
      </c>
      <c r="E4" s="111">
        <f>D4*C12+D4</f>
        <v>82083.975999999995</v>
      </c>
      <c r="F4" s="111">
        <f>E4*C12+E4</f>
        <v>85367.335039999991</v>
      </c>
      <c r="G4" s="111">
        <f>SUM(C4:F4)</f>
        <v>322269.46103999997</v>
      </c>
    </row>
    <row r="5" spans="2:7">
      <c r="B5" s="110" t="s">
        <v>256</v>
      </c>
      <c r="C5" s="111">
        <v>90568.34</v>
      </c>
      <c r="D5" s="111">
        <f>C5*C13+C5</f>
        <v>96455.282099999997</v>
      </c>
      <c r="E5" s="111">
        <f>D5*C13+D5</f>
        <v>102724.87543649999</v>
      </c>
      <c r="F5" s="111">
        <f>E5*C13+E5</f>
        <v>109401.99233987249</v>
      </c>
      <c r="G5" s="111">
        <f>SUM(C5:F5)</f>
        <v>399150.48987637251</v>
      </c>
    </row>
    <row r="6" spans="2:7">
      <c r="B6" s="110" t="s">
        <v>255</v>
      </c>
      <c r="C6" s="111">
        <v>65897.25</v>
      </c>
      <c r="D6" s="111">
        <f>C6*C14+C6</f>
        <v>67874.167499999996</v>
      </c>
      <c r="E6" s="111">
        <f>D6*C14+D6</f>
        <v>69910.392525000003</v>
      </c>
      <c r="F6" s="111">
        <f>E6*C14+E6</f>
        <v>72007.704300750003</v>
      </c>
      <c r="G6" s="111">
        <f>SUM(C6:F6)</f>
        <v>275689.51432575</v>
      </c>
    </row>
    <row r="7" spans="2:7" ht="16">
      <c r="B7" s="98" t="s">
        <v>260</v>
      </c>
      <c r="C7" s="76">
        <f>SUM(C3:C6)</f>
        <v>317649.08999999997</v>
      </c>
      <c r="D7" s="76">
        <f>SUM(D3:D6)</f>
        <v>335371.97959999996</v>
      </c>
      <c r="E7" s="76">
        <f>SUM(E3:E6)</f>
        <v>354204.12436150003</v>
      </c>
      <c r="F7" s="76">
        <f>SUM(F3:F6)</f>
        <v>374220.70251262252</v>
      </c>
      <c r="G7" s="76">
        <f>SUM(G3:G6)</f>
        <v>1381445.8964741225</v>
      </c>
    </row>
    <row r="10" spans="2:7">
      <c r="B10" s="142" t="s">
        <v>259</v>
      </c>
      <c r="C10" s="142"/>
    </row>
    <row r="11" spans="2:7">
      <c r="B11" s="112" t="s">
        <v>258</v>
      </c>
      <c r="C11" s="113">
        <v>0.08</v>
      </c>
    </row>
    <row r="12" spans="2:7">
      <c r="B12" s="112" t="s">
        <v>257</v>
      </c>
      <c r="C12" s="113">
        <v>0.04</v>
      </c>
    </row>
    <row r="13" spans="2:7">
      <c r="B13" s="112" t="s">
        <v>256</v>
      </c>
      <c r="C13" s="113">
        <v>6.5000000000000002E-2</v>
      </c>
    </row>
    <row r="14" spans="2:7">
      <c r="B14" s="112" t="s">
        <v>255</v>
      </c>
      <c r="C14" s="113">
        <v>0.03</v>
      </c>
    </row>
  </sheetData>
  <scenarios current="1" show="1">
    <scenario name="Default" locked="1" count="4" user="Microsoft Office User" comment="Created by Microsoft Office User on 9/5/2023">
      <inputCells r="C11" val="0.033" numFmtId="10"/>
      <inputCells r="C12" val="0.023" numFmtId="10"/>
      <inputCells r="C13" val="0.043" numFmtId="10"/>
      <inputCells r="C14" val="0.011" numFmtId="10"/>
    </scenario>
    <scenario name="best" locked="1" count="4" user="Microsoft Office User" comment="Created by Microsoft Office User on 9/5/2023">
      <inputCells r="C11" val="0.08" numFmtId="10"/>
      <inputCells r="C12" val="0.04" numFmtId="10"/>
      <inputCells r="C13" val="0.065" numFmtId="10"/>
      <inputCells r="C14" val="0.03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174AD-5463-CF49-87E0-AE87C4E0909D}">
  <sheetPr codeName="Sheet21"/>
  <dimension ref="A1:I38"/>
  <sheetViews>
    <sheetView workbookViewId="0">
      <selection activeCell="H1" sqref="H1:H1048576"/>
    </sheetView>
  </sheetViews>
  <sheetFormatPr baseColWidth="10" defaultColWidth="8.83203125" defaultRowHeight="13"/>
  <cols>
    <col min="1" max="1" width="11.5" bestFit="1" customWidth="1"/>
    <col min="2" max="2" width="15.1640625" bestFit="1" customWidth="1"/>
    <col min="3" max="3" width="15.33203125" bestFit="1" customWidth="1"/>
    <col min="4" max="4" width="16.1640625" bestFit="1" customWidth="1"/>
    <col min="5" max="5" width="9.5" bestFit="1" customWidth="1"/>
    <col min="6" max="6" width="13.5" bestFit="1" customWidth="1"/>
    <col min="7" max="7" width="12" bestFit="1" customWidth="1"/>
    <col min="8" max="8" width="13.6640625" style="131" bestFit="1" customWidth="1"/>
    <col min="9" max="9" width="15" style="128" bestFit="1" customWidth="1"/>
  </cols>
  <sheetData>
    <row r="1" spans="1:9" ht="18">
      <c r="A1" s="126" t="s">
        <v>16</v>
      </c>
      <c r="B1" s="126" t="s">
        <v>17</v>
      </c>
      <c r="C1" s="126" t="s">
        <v>18</v>
      </c>
      <c r="D1" s="126" t="s">
        <v>296</v>
      </c>
      <c r="E1" s="126" t="s">
        <v>297</v>
      </c>
      <c r="F1" s="126" t="s">
        <v>298</v>
      </c>
      <c r="G1" s="126" t="s">
        <v>299</v>
      </c>
      <c r="H1" s="129" t="s">
        <v>23</v>
      </c>
      <c r="I1" s="127" t="s">
        <v>140</v>
      </c>
    </row>
    <row r="2" spans="1:9" ht="14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0">
        <v>33344</v>
      </c>
      <c r="I2" s="128">
        <v>11.25</v>
      </c>
    </row>
    <row r="3" spans="1:9" ht="14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0">
        <v>29153</v>
      </c>
      <c r="I3" s="128">
        <v>12.25</v>
      </c>
    </row>
    <row r="4" spans="1:9" ht="14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0">
        <v>32040</v>
      </c>
      <c r="I4" s="128">
        <v>14.55</v>
      </c>
    </row>
    <row r="5" spans="1:9" ht="14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0">
        <v>33823</v>
      </c>
      <c r="I5" s="128">
        <v>11.25</v>
      </c>
    </row>
    <row r="6" spans="1:9" ht="14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0">
        <v>31503</v>
      </c>
      <c r="I6" s="128">
        <v>10.199999999999999</v>
      </c>
    </row>
    <row r="7" spans="1:9" ht="14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0">
        <v>32894</v>
      </c>
      <c r="I7" s="128">
        <v>12.25</v>
      </c>
    </row>
    <row r="8" spans="1:9" ht="14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0">
        <v>35886</v>
      </c>
      <c r="I8" s="128">
        <v>9.9499999999999993</v>
      </c>
    </row>
    <row r="9" spans="1:9" ht="14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0">
        <v>31051</v>
      </c>
      <c r="I9" s="128">
        <v>12.3</v>
      </c>
    </row>
    <row r="10" spans="1:9" ht="14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0">
        <v>31050</v>
      </c>
      <c r="I10" s="128">
        <v>13.25</v>
      </c>
    </row>
    <row r="11" spans="1:9" ht="14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0">
        <v>30939</v>
      </c>
      <c r="I11" s="128">
        <v>10.199999999999999</v>
      </c>
    </row>
    <row r="12" spans="1:9" ht="14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0">
        <v>32863</v>
      </c>
      <c r="I12" s="128">
        <v>12.2</v>
      </c>
    </row>
    <row r="13" spans="1:9" ht="14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0">
        <v>30900</v>
      </c>
      <c r="I13" s="128">
        <v>14.25</v>
      </c>
    </row>
    <row r="14" spans="1:9" ht="14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0">
        <v>31689</v>
      </c>
      <c r="I14" s="128">
        <v>11.5</v>
      </c>
    </row>
    <row r="15" spans="1:9" ht="14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0">
        <v>32561</v>
      </c>
      <c r="I15" s="128">
        <v>10.35</v>
      </c>
    </row>
    <row r="16" spans="1:9" ht="14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0">
        <v>32979</v>
      </c>
      <c r="I16" s="128">
        <v>10.15</v>
      </c>
    </row>
    <row r="17" spans="1:9" ht="14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0">
        <v>30386</v>
      </c>
      <c r="I17" s="128">
        <v>12.25</v>
      </c>
    </row>
    <row r="18" spans="1:9" ht="14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0">
        <v>31217</v>
      </c>
      <c r="I18" s="128">
        <v>13.25</v>
      </c>
    </row>
    <row r="19" spans="1:9" ht="14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0">
        <v>31112</v>
      </c>
      <c r="I19" s="128">
        <v>9.5</v>
      </c>
    </row>
    <row r="20" spans="1:9" ht="14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0">
        <v>31805</v>
      </c>
      <c r="I20" s="128">
        <v>11.3</v>
      </c>
    </row>
    <row r="21" spans="1:9" ht="14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0">
        <v>32125</v>
      </c>
      <c r="I21" s="128">
        <v>12.35</v>
      </c>
    </row>
    <row r="22" spans="1:9" ht="14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0">
        <v>32979</v>
      </c>
      <c r="I22" s="128">
        <v>11.9</v>
      </c>
    </row>
    <row r="23" spans="1:9" ht="14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0">
        <v>33688</v>
      </c>
      <c r="I23" s="128">
        <v>11.85</v>
      </c>
    </row>
    <row r="24" spans="1:9" ht="14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0">
        <v>29885</v>
      </c>
      <c r="I24" s="128">
        <v>10.75</v>
      </c>
    </row>
    <row r="25" spans="1:9" ht="14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0">
        <v>33091</v>
      </c>
      <c r="I25" s="128">
        <v>9.75</v>
      </c>
    </row>
    <row r="26" spans="1:9" ht="14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0">
        <v>28531</v>
      </c>
      <c r="I26" s="128">
        <v>13.95</v>
      </c>
    </row>
    <row r="27" spans="1:9" ht="14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0">
        <v>30028</v>
      </c>
      <c r="I27" s="128">
        <v>11.2</v>
      </c>
    </row>
    <row r="28" spans="1:9" ht="14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0">
        <v>33231</v>
      </c>
      <c r="I28" s="128">
        <v>10.3</v>
      </c>
    </row>
    <row r="29" spans="1:9" ht="14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0">
        <v>32571</v>
      </c>
      <c r="I29" s="128">
        <v>12.25</v>
      </c>
    </row>
    <row r="30" spans="1:9" ht="14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0">
        <v>30817</v>
      </c>
      <c r="I30" s="128">
        <v>10.25</v>
      </c>
    </row>
    <row r="31" spans="1:9" ht="14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0">
        <v>32679</v>
      </c>
      <c r="I31" s="128">
        <v>9.85</v>
      </c>
    </row>
    <row r="32" spans="1:9" ht="14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0">
        <v>31729</v>
      </c>
      <c r="I32" s="128">
        <v>11.65</v>
      </c>
    </row>
    <row r="33" spans="1:9" ht="14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0">
        <v>33559</v>
      </c>
      <c r="I33" s="128">
        <v>9.25</v>
      </c>
    </row>
    <row r="34" spans="1:9" ht="14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0">
        <v>35125</v>
      </c>
      <c r="I34" s="128">
        <v>9.25</v>
      </c>
    </row>
    <row r="35" spans="1:9" ht="14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0">
        <v>35609</v>
      </c>
      <c r="I35" s="128">
        <v>11</v>
      </c>
    </row>
    <row r="36" spans="1:9" ht="14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0">
        <v>35840</v>
      </c>
      <c r="I36" s="128">
        <v>10.95</v>
      </c>
    </row>
    <row r="37" spans="1:9" ht="14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0">
        <v>35855</v>
      </c>
      <c r="I37" s="128">
        <v>11.75</v>
      </c>
    </row>
    <row r="38" spans="1:9" ht="14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0">
        <v>35981</v>
      </c>
      <c r="I38" s="128">
        <v>10.15</v>
      </c>
    </row>
  </sheetData>
  <autoFilter ref="A1:I38" xr:uid="{AB8174AD-5463-CF49-87E0-AE87C4E0909D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topLeftCell="A22" workbookViewId="0">
      <selection activeCell="H1" sqref="H1:H1048576"/>
    </sheetView>
  </sheetViews>
  <sheetFormatPr baseColWidth="10" defaultColWidth="8.83203125" defaultRowHeight="13"/>
  <cols>
    <col min="1" max="1" width="11.5" bestFit="1" customWidth="1"/>
    <col min="2" max="2" width="15.1640625" bestFit="1" customWidth="1"/>
    <col min="3" max="3" width="15.33203125" bestFit="1" customWidth="1"/>
    <col min="4" max="4" width="16.1640625" bestFit="1" customWidth="1"/>
    <col min="5" max="5" width="9.5" bestFit="1" customWidth="1"/>
    <col min="6" max="6" width="13.5" bestFit="1" customWidth="1"/>
    <col min="7" max="7" width="12" bestFit="1" customWidth="1"/>
    <col min="8" max="8" width="13.6640625" style="131" bestFit="1" customWidth="1"/>
    <col min="9" max="9" width="15" style="128" bestFit="1" customWidth="1"/>
  </cols>
  <sheetData>
    <row r="1" spans="1:9" ht="18">
      <c r="A1" s="126" t="s">
        <v>16</v>
      </c>
      <c r="B1" s="126" t="s">
        <v>17</v>
      </c>
      <c r="C1" s="126" t="s">
        <v>18</v>
      </c>
      <c r="D1" s="126" t="s">
        <v>296</v>
      </c>
      <c r="E1" s="126" t="s">
        <v>297</v>
      </c>
      <c r="F1" s="126" t="s">
        <v>298</v>
      </c>
      <c r="G1" s="126" t="s">
        <v>299</v>
      </c>
      <c r="H1" s="129" t="s">
        <v>23</v>
      </c>
      <c r="I1" s="127" t="s">
        <v>140</v>
      </c>
    </row>
    <row r="2" spans="1:9" ht="14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0">
        <v>33344</v>
      </c>
      <c r="I2" s="128">
        <v>11.25</v>
      </c>
    </row>
    <row r="3" spans="1:9" ht="14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0">
        <v>29153</v>
      </c>
      <c r="I3" s="128">
        <v>12.25</v>
      </c>
    </row>
    <row r="4" spans="1:9" ht="14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0">
        <v>32040</v>
      </c>
      <c r="I4" s="128">
        <v>14.55</v>
      </c>
    </row>
    <row r="5" spans="1:9" ht="14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0">
        <v>33823</v>
      </c>
      <c r="I5" s="128">
        <v>11.25</v>
      </c>
    </row>
    <row r="6" spans="1:9" ht="14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0">
        <v>31503</v>
      </c>
      <c r="I6" s="128">
        <v>10.199999999999999</v>
      </c>
    </row>
    <row r="7" spans="1:9" ht="14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0">
        <v>32894</v>
      </c>
      <c r="I7" s="128">
        <v>12.25</v>
      </c>
    </row>
    <row r="8" spans="1:9" ht="14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0">
        <v>35886</v>
      </c>
      <c r="I8" s="128">
        <v>9.9499999999999993</v>
      </c>
    </row>
    <row r="9" spans="1:9" ht="14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0">
        <v>31051</v>
      </c>
      <c r="I9" s="128">
        <v>12.3</v>
      </c>
    </row>
    <row r="10" spans="1:9" ht="14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0">
        <v>31050</v>
      </c>
      <c r="I10" s="128">
        <v>13.25</v>
      </c>
    </row>
    <row r="11" spans="1:9" ht="14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0">
        <v>30939</v>
      </c>
      <c r="I11" s="128">
        <v>10.199999999999999</v>
      </c>
    </row>
    <row r="12" spans="1:9" ht="14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0">
        <v>32863</v>
      </c>
      <c r="I12" s="128">
        <v>12.2</v>
      </c>
    </row>
    <row r="13" spans="1:9" ht="14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0">
        <v>30900</v>
      </c>
      <c r="I13" s="128">
        <v>14.25</v>
      </c>
    </row>
    <row r="14" spans="1:9" ht="14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0">
        <v>31689</v>
      </c>
      <c r="I14" s="128">
        <v>11.5</v>
      </c>
    </row>
    <row r="15" spans="1:9" ht="14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0">
        <v>32561</v>
      </c>
      <c r="I15" s="128">
        <v>10.35</v>
      </c>
    </row>
    <row r="16" spans="1:9" ht="14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0">
        <v>32979</v>
      </c>
      <c r="I16" s="128">
        <v>10.15</v>
      </c>
    </row>
    <row r="17" spans="1:9" ht="14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0">
        <v>30386</v>
      </c>
      <c r="I17" s="128">
        <v>12.25</v>
      </c>
    </row>
    <row r="18" spans="1:9" ht="14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0">
        <v>31217</v>
      </c>
      <c r="I18" s="128">
        <v>13.25</v>
      </c>
    </row>
    <row r="19" spans="1:9" ht="14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0">
        <v>31112</v>
      </c>
      <c r="I19" s="128">
        <v>9.5</v>
      </c>
    </row>
    <row r="20" spans="1:9" ht="14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0">
        <v>31805</v>
      </c>
      <c r="I20" s="128">
        <v>11.3</v>
      </c>
    </row>
    <row r="21" spans="1:9" ht="14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0">
        <v>32125</v>
      </c>
      <c r="I21" s="128">
        <v>12.35</v>
      </c>
    </row>
    <row r="22" spans="1:9" ht="14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0">
        <v>32979</v>
      </c>
      <c r="I22" s="128">
        <v>11.9</v>
      </c>
    </row>
    <row r="23" spans="1:9" ht="14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0">
        <v>33688</v>
      </c>
      <c r="I23" s="128">
        <v>11.85</v>
      </c>
    </row>
    <row r="24" spans="1:9" ht="14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0">
        <v>29885</v>
      </c>
      <c r="I24" s="128">
        <v>10.75</v>
      </c>
    </row>
    <row r="25" spans="1:9" ht="14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0">
        <v>33091</v>
      </c>
      <c r="I25" s="128">
        <v>9.75</v>
      </c>
    </row>
    <row r="26" spans="1:9" ht="14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0">
        <v>28531</v>
      </c>
      <c r="I26" s="128">
        <v>13.95</v>
      </c>
    </row>
    <row r="27" spans="1:9" ht="14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0">
        <v>30028</v>
      </c>
      <c r="I27" s="128">
        <v>11.2</v>
      </c>
    </row>
    <row r="28" spans="1:9" ht="14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0">
        <v>33231</v>
      </c>
      <c r="I28" s="128">
        <v>10.3</v>
      </c>
    </row>
    <row r="29" spans="1:9" ht="14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0">
        <v>32571</v>
      </c>
      <c r="I29" s="128">
        <v>12.25</v>
      </c>
    </row>
    <row r="30" spans="1:9" ht="14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0">
        <v>30817</v>
      </c>
      <c r="I30" s="128">
        <v>10.25</v>
      </c>
    </row>
    <row r="31" spans="1:9" ht="14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0">
        <v>32679</v>
      </c>
      <c r="I31" s="128">
        <v>9.85</v>
      </c>
    </row>
    <row r="32" spans="1:9" ht="14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0">
        <v>31729</v>
      </c>
      <c r="I32" s="128">
        <v>11.65</v>
      </c>
    </row>
    <row r="33" spans="1:9" ht="14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0">
        <v>33559</v>
      </c>
      <c r="I33" s="128">
        <v>9.25</v>
      </c>
    </row>
    <row r="34" spans="1:9" ht="14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0">
        <v>35125</v>
      </c>
      <c r="I34" s="128">
        <v>9.25</v>
      </c>
    </row>
    <row r="35" spans="1:9" ht="14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0">
        <v>35609</v>
      </c>
      <c r="I35" s="128">
        <v>11</v>
      </c>
    </row>
    <row r="36" spans="1:9" ht="14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0">
        <v>35840</v>
      </c>
      <c r="I36" s="128">
        <v>10.95</v>
      </c>
    </row>
    <row r="37" spans="1:9" ht="14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0">
        <v>35855</v>
      </c>
      <c r="I37" s="128">
        <v>11.75</v>
      </c>
    </row>
    <row r="38" spans="1:9" ht="14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0">
        <v>35981</v>
      </c>
      <c r="I38" s="128">
        <v>10.15</v>
      </c>
    </row>
  </sheetData>
  <autoFilter ref="A1:I38" xr:uid="{00000000-0001-0000-11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Goal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Microsoft Office User</cp:lastModifiedBy>
  <cp:lastPrinted>2016-02-22T19:48:39Z</cp:lastPrinted>
  <dcterms:created xsi:type="dcterms:W3CDTF">2001-09-07T21:10:35Z</dcterms:created>
  <dcterms:modified xsi:type="dcterms:W3CDTF">2023-09-13T15:39:35Z</dcterms:modified>
</cp:coreProperties>
</file>