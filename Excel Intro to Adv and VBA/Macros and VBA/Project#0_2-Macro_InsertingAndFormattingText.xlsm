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yandicarlo/Downloads/Kyle Pew Excel/Macros and VBA/"/>
    </mc:Choice>
  </mc:AlternateContent>
  <xr:revisionPtr revIDLastSave="0" documentId="13_ncr:1_{010F73E1-EEF0-9540-BCC6-783179444DD1}" xr6:coauthVersionLast="47" xr6:coauthVersionMax="47" xr10:uidLastSave="{00000000-0000-0000-0000-000000000000}"/>
  <bookViews>
    <workbookView xWindow="42500" yWindow="2480" windowWidth="29040" windowHeight="16440" activeTab="2" xr2:uid="{00000000-000D-0000-FFFF-FFFF00000000}"/>
  </bookViews>
  <sheets>
    <sheet name="EAST RECORDS" sheetId="1" r:id="rId1"/>
    <sheet name="RUN MACRO" sheetId="2" r:id="rId2"/>
    <sheet name="RUN WITH BUTT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2" l="1"/>
  <c r="D18" i="2"/>
  <c r="C18" i="2"/>
  <c r="F18" i="2"/>
  <c r="E18" i="1"/>
  <c r="D18" i="1"/>
  <c r="C18" i="1"/>
  <c r="F18" i="1"/>
</calcChain>
</file>

<file path=xl/sharedStrings.xml><?xml version="1.0" encoding="utf-8"?>
<sst xmlns="http://schemas.openxmlformats.org/spreadsheetml/2006/main" count="98" uniqueCount="21">
  <si>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</si>
  <si>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</si>
  <si>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</si>
  <si>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</si>
  <si>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</si>
  <si>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</si>
  <si>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</si>
  <si>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</si>
  <si>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</si>
  <si>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</si>
  <si>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</si>
  <si>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</si>
  <si>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</si>
  <si>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</si>
  <si>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</si>
  <si>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Region</t>
  </si>
  <si>
    <t>Expense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</si>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</sst>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1" xfId="0" applyFont="1" applyFill="1" applyBorder="1"/>
    <xf numFmtId="0" fontId="0" fillId="0" borderId="1" xfId="0" applyFont="1" applyBorder="1"/>
    <xf numFmtId="0" fontId="1" fillId="2" borderId="0" xfId="0" applyFont="1" applyFill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437931</xdr:colOff>
      <xdr:row>3</xdr:row>
      <xdr:rowOff>78827</xdr:rowOff>
    </xdr:from>
    <xdr:to>
      <xdr:col>9</xdr:col>
      <xdr:colOff>87586</xdr:colOff>
      <xdr:row>5</xdr:row>
      <xdr:rowOff>17517</xdr:rowOff>
    </xdr:to>
    <xdr:sp macro="[0]!TableFormatter" textlink="">
      <xdr:nvSpPr>
        <xdr:cNvPr id="2" name="Rounded Rectangle 1">
          <a:extLst>
            <a:ext uri="{FF2B5EF4-FFF2-40B4-BE49-F238E27FC236}">
              <a16:creationId xmlns:a16="http://schemas.microsoft.com/office/drawing/2014/main" id="{020B6099-28C3-DF91-922F-B9363C020585}"/>
            </a:ext>
          </a:extLst>
        </xdr:cNvPr>
        <xdr:cNvSpPr/>
      </xdr:nvSpPr>
      <xdr:spPr>
        <a:xfrm>
          <a:off x="5885793" y="665655"/>
          <a:ext cx="998483" cy="32406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FormatMacro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B5049-27AA-A949-9F93-84114D8D5CA0}" name="Table1" displayName="Table1" ref="A3:F18" totalsRowCount="1" headerRowDxfId="15">
  <autoFilter ref="A3:F17" xr:uid="{DE9B5049-27AA-A949-9F93-84114D8D5CA0}"/>
  <tableColumns count="6">
    <tableColumn id="1" xr3:uid="{4C921C35-EFC1-064F-8DA0-80A1EA6A8464}" name="Region" totalsRowLabel="Total"/>
    <tableColumn id="2" xr3:uid="{258064FD-DE55-EC4F-A6EF-E79DEB389820}" name="Expense"/>
    <tableColumn id="3" xr3:uid="{23605902-1CAD-EC43-9C8A-0E21B19C02C2}" name="Jan" totalsRowFunction="sum"/>
    <tableColumn id="4" xr3:uid="{A2B323FD-16E1-AA41-B559-E53E644716EB}" name="Feb" totalsRowFunction="sum"/>
    <tableColumn id="5" xr3:uid="{7136014F-29BE-1040-B7C1-178BA5AF6AC3}" name="Mar" totalsRowFunction="sum"/>
    <tableColumn id="6" xr3:uid="{B24923D1-2C42-F24F-88FE-F162388B7ECA}" name="Total" totalsRowFunction="sum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71911D-5A0C-3042-A420-487E90E2A5E9}" name="Table1" displayName="Table1_1" ref="A3:F17" headerRowDxfId="6" dataDxfId="7" tableBorderDxfId="14">
  <autoFilter ref="A3:F17" xr:uid="{4671911D-5A0C-3042-A420-487E90E2A5E9}"/>
  <tableColumns count="6">
    <tableColumn id="1" xr3:uid="{B56A1098-A5D7-FD48-BC0E-6591B85C3D9A}" name="Region" totalsRowLabel="Total" dataDxfId="13" totalsRowDxfId="0"/>
    <tableColumn id="2" xr3:uid="{65DF8246-5AAF-884B-A1B9-8F6B4C3AC9BB}" name="Expense" dataDxfId="12" totalsRowDxfId="1"/>
    <tableColumn id="3" xr3:uid="{22AF4E42-556E-D84D-9D21-D4DE0BDB0D26}" name="Jan" dataDxfId="11" totalsRowDxfId="2"/>
    <tableColumn id="4" xr3:uid="{B1BF8C90-5E1D-8F4B-9A2C-24078174C0C8}" name="Feb" dataDxfId="10" totalsRowDxfId="3"/>
    <tableColumn id="5" xr3:uid="{16A5BD81-BB3E-034F-A84F-1841ABFDF1DC}" name="Mar" dataDxfId="9" totalsRowDxfId="4"/>
    <tableColumn id="6" xr3:uid="{16C0170C-480A-194C-97A4-2549E6A65B06}" name="Total" totalsRowFunction="sum" dataDxfId="8" totalsRow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18"/>
  <sheetViews>
    <sheetView zoomScale="145" zoomScaleNormal="145" workbookViewId="0">
      <selection activeCell="C18" sqref="C18"/>
    </sheetView>
  </sheetViews>
  <sheetFormatPr baseColWidth="10" defaultColWidth="8.83203125" defaultRowHeight="15" x14ac:dyDescent="0.2"/>
  <cols>
    <col min="2" max="2" width="15.5" customWidth="1"/>
    <col min="3" max="3" width="11.83203125" bestFit="1" customWidth="1"/>
    <col min="8" max="8" width="9.6640625" bestFit="1" customWidth="1"/>
  </cols>
  <sheetData>
    <row r="3" spans="1:6" ht="16" x14ac:dyDescent="0.2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1" t="s">
        <v>20</v>
      </c>
    </row>
    <row r="4" spans="1:6" x14ac:dyDescent="0.2">
      <c r="A4" t="s">
        <v>0</v>
      </c>
      <c r="B4" t="s">
        <v>1</v>
      </c>
      <c r="C4">
        <v>800</v>
      </c>
      <c r="D4">
        <v>650</v>
      </c>
      <c r="E4">
        <v>700</v>
      </c>
      <c r="F4">
        <v>2150</v>
      </c>
    </row>
    <row r="5" spans="1:6" x14ac:dyDescent="0.2">
      <c r="A5" t="s">
        <v>0</v>
      </c>
      <c r="B5" t="s">
        <v>2</v>
      </c>
      <c r="C5">
        <v>900</v>
      </c>
      <c r="D5">
        <v>850</v>
      </c>
      <c r="E5">
        <v>850</v>
      </c>
      <c r="F5">
        <v>2600</v>
      </c>
    </row>
    <row r="6" spans="1:6" x14ac:dyDescent="0.2">
      <c r="A6" t="s">
        <v>0</v>
      </c>
      <c r="B6" t="s">
        <v>3</v>
      </c>
      <c r="C6">
        <v>4850</v>
      </c>
      <c r="D6">
        <v>3200</v>
      </c>
      <c r="E6">
        <v>1155</v>
      </c>
      <c r="F6">
        <v>9205</v>
      </c>
    </row>
    <row r="7" spans="1:6" x14ac:dyDescent="0.2">
      <c r="A7" t="s">
        <v>0</v>
      </c>
      <c r="B7" t="s">
        <v>4</v>
      </c>
      <c r="C7">
        <v>1250</v>
      </c>
      <c r="D7">
        <v>1250</v>
      </c>
      <c r="E7">
        <v>1250</v>
      </c>
      <c r="F7">
        <v>3750</v>
      </c>
    </row>
    <row r="8" spans="1:6" x14ac:dyDescent="0.2">
      <c r="A8" t="s">
        <v>0</v>
      </c>
      <c r="B8" t="s">
        <v>5</v>
      </c>
      <c r="C8">
        <v>2025</v>
      </c>
      <c r="D8">
        <v>2200</v>
      </c>
      <c r="E8">
        <v>1650</v>
      </c>
      <c r="F8">
        <v>5875</v>
      </c>
    </row>
    <row r="9" spans="1:6" x14ac:dyDescent="0.2">
      <c r="A9" t="s">
        <v>0</v>
      </c>
      <c r="B9" t="s">
        <v>6</v>
      </c>
      <c r="C9">
        <v>1350</v>
      </c>
      <c r="D9">
        <v>1500</v>
      </c>
      <c r="E9">
        <v>1700</v>
      </c>
      <c r="F9">
        <v>4550</v>
      </c>
    </row>
    <row r="10" spans="1:6" x14ac:dyDescent="0.2">
      <c r="A10" t="s">
        <v>0</v>
      </c>
      <c r="B10" t="s">
        <v>7</v>
      </c>
      <c r="C10">
        <v>3300</v>
      </c>
      <c r="D10">
        <v>3500</v>
      </c>
      <c r="E10">
        <v>3700</v>
      </c>
      <c r="F10">
        <v>10500</v>
      </c>
    </row>
    <row r="11" spans="1:6" x14ac:dyDescent="0.2">
      <c r="A11" t="s">
        <v>0</v>
      </c>
      <c r="B11" t="s">
        <v>8</v>
      </c>
      <c r="C11">
        <v>3825</v>
      </c>
      <c r="D11">
        <v>3725</v>
      </c>
      <c r="E11">
        <v>3750</v>
      </c>
      <c r="F11">
        <v>11300</v>
      </c>
    </row>
    <row r="12" spans="1:6" x14ac:dyDescent="0.2">
      <c r="A12" t="s">
        <v>0</v>
      </c>
      <c r="B12" t="s">
        <v>9</v>
      </c>
      <c r="C12">
        <v>8900</v>
      </c>
      <c r="D12">
        <v>10315</v>
      </c>
      <c r="E12">
        <v>5250</v>
      </c>
      <c r="F12">
        <v>24465</v>
      </c>
    </row>
    <row r="13" spans="1:6" x14ac:dyDescent="0.2">
      <c r="A13" t="s">
        <v>0</v>
      </c>
      <c r="B13" t="s">
        <v>10</v>
      </c>
      <c r="C13">
        <v>6250</v>
      </c>
      <c r="D13">
        <v>6000</v>
      </c>
      <c r="E13">
        <v>6500</v>
      </c>
      <c r="F13">
        <v>18750</v>
      </c>
    </row>
    <row r="14" spans="1:6" x14ac:dyDescent="0.2">
      <c r="A14" t="s">
        <v>0</v>
      </c>
      <c r="B14" t="s">
        <v>11</v>
      </c>
      <c r="C14">
        <v>8000</v>
      </c>
      <c r="D14">
        <v>8000</v>
      </c>
      <c r="E14">
        <v>8000</v>
      </c>
      <c r="F14">
        <v>24000</v>
      </c>
    </row>
    <row r="15" spans="1:6" x14ac:dyDescent="0.2">
      <c r="A15" t="s">
        <v>0</v>
      </c>
      <c r="B15" t="s">
        <v>12</v>
      </c>
      <c r="C15">
        <v>11500</v>
      </c>
      <c r="D15">
        <v>12500</v>
      </c>
      <c r="E15">
        <v>12500</v>
      </c>
      <c r="F15">
        <v>36500</v>
      </c>
    </row>
    <row r="16" spans="1:6" x14ac:dyDescent="0.2">
      <c r="A16" t="s">
        <v>0</v>
      </c>
      <c r="B16" t="s">
        <v>13</v>
      </c>
      <c r="C16">
        <v>12250</v>
      </c>
      <c r="D16">
        <v>12250</v>
      </c>
      <c r="E16">
        <v>12750</v>
      </c>
      <c r="F16">
        <v>37250</v>
      </c>
    </row>
    <row r="17" spans="1:6" x14ac:dyDescent="0.2">
      <c r="A17" t="s">
        <v>0</v>
      </c>
      <c r="B17" t="s">
        <v>14</v>
      </c>
      <c r="C17">
        <v>25000</v>
      </c>
      <c r="D17">
        <v>24000</v>
      </c>
      <c r="E17">
        <v>26390</v>
      </c>
      <c r="F17">
        <v>75390</v>
      </c>
    </row>
    <row r="18" spans="1:6" ht="15" customHeight="1" x14ac:dyDescent="0.2">
      <c r="A18" t="s">
        <v>20</v>
      </c>
      <c r="C18">
        <f>SUBTOTAL(109,Table1[Jan])</f>
        <v>90200</v>
      </c>
      <c r="D18">
        <f>SUBTOTAL(109,Table1[Feb])</f>
        <v>89940</v>
      </c>
      <c r="E18">
        <f>SUBTOTAL(109,Table1[Mar])</f>
        <v>86145</v>
      </c>
      <c r="F18">
        <f>SUBTOTAL(109,Table1[Total])</f>
        <v>266285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F18"/>
  <sheetViews>
    <sheetView zoomScale="145" zoomScaleNormal="145" workbookViewId="0">
      <selection activeCell="A18" sqref="A18"/>
    </sheetView>
  </sheetViews>
  <sheetFormatPr baseColWidth="10" defaultColWidth="8.83203125" defaultRowHeight="15" x14ac:dyDescent="0.2"/>
  <cols>
    <col min="2" max="2" width="18.33203125" customWidth="1"/>
  </cols>
  <sheetData>
    <row r="3" spans="1:6" ht="16" x14ac:dyDescent="0.2">
      <c r="A3" s="4" t="s">
        <v>15</v>
      </c>
      <c r="B3" s="4" t="s">
        <v>16</v>
      </c>
      <c r="C3" s="4" t="s">
        <v>17</v>
      </c>
      <c r="D3" s="4" t="s">
        <v>18</v>
      </c>
      <c r="E3" s="4" t="s">
        <v>19</v>
      </c>
      <c r="F3" s="4" t="s">
        <v>20</v>
      </c>
    </row>
    <row r="4" spans="1:6" x14ac:dyDescent="0.2">
      <c r="A4" s="2" t="s">
        <v>0</v>
      </c>
      <c r="B4" s="2" t="s">
        <v>1</v>
      </c>
      <c r="C4" s="2">
        <v>800</v>
      </c>
      <c r="D4" s="2">
        <v>650</v>
      </c>
      <c r="E4" s="2">
        <v>700</v>
      </c>
      <c r="F4" s="2">
        <v>2150</v>
      </c>
    </row>
    <row r="5" spans="1:6" x14ac:dyDescent="0.2">
      <c r="A5" s="3" t="s">
        <v>0</v>
      </c>
      <c r="B5" s="3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">
      <c r="A6" s="2" t="s">
        <v>0</v>
      </c>
      <c r="B6" s="2" t="s">
        <v>3</v>
      </c>
      <c r="C6" s="2">
        <v>4850</v>
      </c>
      <c r="D6" s="2">
        <v>3200</v>
      </c>
      <c r="E6" s="2">
        <v>1155</v>
      </c>
      <c r="F6" s="2">
        <v>9205</v>
      </c>
    </row>
    <row r="7" spans="1:6" x14ac:dyDescent="0.2">
      <c r="A7" s="3" t="s">
        <v>0</v>
      </c>
      <c r="B7" s="3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">
      <c r="A8" s="2" t="s">
        <v>0</v>
      </c>
      <c r="B8" s="2" t="s">
        <v>5</v>
      </c>
      <c r="C8" s="2">
        <v>2025</v>
      </c>
      <c r="D8" s="2">
        <v>2200</v>
      </c>
      <c r="E8" s="2">
        <v>1650</v>
      </c>
      <c r="F8" s="2">
        <v>5875</v>
      </c>
    </row>
    <row r="9" spans="1:6" x14ac:dyDescent="0.2">
      <c r="A9" s="3" t="s">
        <v>0</v>
      </c>
      <c r="B9" s="3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">
      <c r="A10" s="2" t="s">
        <v>0</v>
      </c>
      <c r="B10" s="2" t="s">
        <v>7</v>
      </c>
      <c r="C10" s="2">
        <v>3300</v>
      </c>
      <c r="D10" s="2">
        <v>3500</v>
      </c>
      <c r="E10" s="2">
        <v>3700</v>
      </c>
      <c r="F10" s="2">
        <v>10500</v>
      </c>
    </row>
    <row r="11" spans="1:6" x14ac:dyDescent="0.2">
      <c r="A11" s="3" t="s">
        <v>0</v>
      </c>
      <c r="B11" s="3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x14ac:dyDescent="0.2">
      <c r="A12" s="2" t="s">
        <v>0</v>
      </c>
      <c r="B12" s="2" t="s">
        <v>9</v>
      </c>
      <c r="C12" s="2">
        <v>8900</v>
      </c>
      <c r="D12" s="2">
        <v>10315</v>
      </c>
      <c r="E12" s="2">
        <v>5250</v>
      </c>
      <c r="F12" s="2">
        <v>24465</v>
      </c>
    </row>
    <row r="13" spans="1:6" x14ac:dyDescent="0.2">
      <c r="A13" s="3" t="s">
        <v>0</v>
      </c>
      <c r="B13" s="3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">
      <c r="A14" s="2" t="s">
        <v>0</v>
      </c>
      <c r="B14" s="2" t="s">
        <v>11</v>
      </c>
      <c r="C14" s="2">
        <v>8000</v>
      </c>
      <c r="D14" s="2">
        <v>8000</v>
      </c>
      <c r="E14" s="2">
        <v>8000</v>
      </c>
      <c r="F14" s="2">
        <v>24000</v>
      </c>
    </row>
    <row r="15" spans="1:6" x14ac:dyDescent="0.2">
      <c r="A15" s="3" t="s">
        <v>0</v>
      </c>
      <c r="B15" s="3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x14ac:dyDescent="0.2">
      <c r="A16" s="2" t="s">
        <v>0</v>
      </c>
      <c r="B16" s="2" t="s">
        <v>13</v>
      </c>
      <c r="C16" s="2">
        <v>12250</v>
      </c>
      <c r="D16" s="2">
        <v>12250</v>
      </c>
      <c r="E16" s="2">
        <v>12750</v>
      </c>
      <c r="F16" s="2">
        <v>37250</v>
      </c>
    </row>
    <row r="17" spans="1:6" x14ac:dyDescent="0.2">
      <c r="A17" s="3" t="s">
        <v>0</v>
      </c>
      <c r="B17" s="3" t="s">
        <v>14</v>
      </c>
      <c r="C17" s="3">
        <v>25000</v>
      </c>
      <c r="D17" s="3">
        <v>24000</v>
      </c>
      <c r="E17" s="3">
        <v>26390</v>
      </c>
      <c r="F17" s="3">
        <v>75390</v>
      </c>
    </row>
    <row r="18" spans="1:6" x14ac:dyDescent="0.2">
      <c r="A18" s="5" t="s">
        <v>20</v>
      </c>
      <c r="B18" s="6"/>
      <c r="C18" s="6">
        <f>SUBTOTAL(109,'RUN MACRO'!$C$4:$C$17)</f>
        <v>90200</v>
      </c>
      <c r="D18" s="6">
        <f>SUBTOTAL(109,'RUN MACRO'!$D$4:$D$17)</f>
        <v>89940</v>
      </c>
      <c r="E18" s="6">
        <f>SUBTOTAL(109,'RUN MACRO'!$E$4:$E$17)</f>
        <v>86145</v>
      </c>
      <c r="F18" s="7">
        <f>SUBTOTAL(109,'RUN MACRO'!$F$4:$F$17)</f>
        <v>266285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:F17"/>
  <sheetViews>
    <sheetView tabSelected="1" zoomScale="145" zoomScaleNormal="145" workbookViewId="0">
      <selection activeCell="A10" sqref="A10"/>
    </sheetView>
  </sheetViews>
  <sheetFormatPr baseColWidth="10" defaultColWidth="8.83203125" defaultRowHeight="15" x14ac:dyDescent="0.2"/>
  <cols>
    <col min="2" max="2" width="16" bestFit="1" customWidth="1"/>
  </cols>
  <sheetData>
    <row r="4" spans="1:6" x14ac:dyDescent="0.2">
      <c r="A4" t="s">
        <v>0</v>
      </c>
      <c r="B4" t="s">
        <v>1</v>
      </c>
      <c r="C4">
        <v>800</v>
      </c>
      <c r="D4">
        <v>650</v>
      </c>
      <c r="E4">
        <v>700</v>
      </c>
      <c r="F4">
        <v>2150</v>
      </c>
    </row>
    <row r="5" spans="1:6" x14ac:dyDescent="0.2">
      <c r="A5" t="s">
        <v>0</v>
      </c>
      <c r="B5" t="s">
        <v>2</v>
      </c>
      <c r="C5">
        <v>900</v>
      </c>
      <c r="D5">
        <v>850</v>
      </c>
      <c r="E5">
        <v>850</v>
      </c>
      <c r="F5">
        <v>2600</v>
      </c>
    </row>
    <row r="6" spans="1:6" x14ac:dyDescent="0.2">
      <c r="A6" t="s">
        <v>0</v>
      </c>
      <c r="B6" t="s">
        <v>3</v>
      </c>
      <c r="C6">
        <v>4850</v>
      </c>
      <c r="D6">
        <v>3200</v>
      </c>
      <c r="E6">
        <v>1155</v>
      </c>
      <c r="F6">
        <v>9205</v>
      </c>
    </row>
    <row r="7" spans="1:6" x14ac:dyDescent="0.2">
      <c r="A7" t="s">
        <v>0</v>
      </c>
      <c r="B7" t="s">
        <v>4</v>
      </c>
      <c r="C7">
        <v>1250</v>
      </c>
      <c r="D7">
        <v>1250</v>
      </c>
      <c r="E7">
        <v>1250</v>
      </c>
      <c r="F7">
        <v>3750</v>
      </c>
    </row>
    <row r="8" spans="1:6" x14ac:dyDescent="0.2">
      <c r="A8" t="s">
        <v>0</v>
      </c>
      <c r="B8" t="s">
        <v>5</v>
      </c>
      <c r="C8">
        <v>2025</v>
      </c>
      <c r="D8">
        <v>2200</v>
      </c>
      <c r="E8">
        <v>1650</v>
      </c>
      <c r="F8">
        <v>5875</v>
      </c>
    </row>
    <row r="9" spans="1:6" x14ac:dyDescent="0.2">
      <c r="A9" t="s">
        <v>0</v>
      </c>
      <c r="B9" t="s">
        <v>6</v>
      </c>
      <c r="C9">
        <v>1350</v>
      </c>
      <c r="D9">
        <v>1500</v>
      </c>
      <c r="E9">
        <v>1700</v>
      </c>
      <c r="F9">
        <v>4550</v>
      </c>
    </row>
    <row r="10" spans="1:6" x14ac:dyDescent="0.2">
      <c r="A10" t="s">
        <v>0</v>
      </c>
      <c r="B10" t="s">
        <v>7</v>
      </c>
      <c r="C10">
        <v>3300</v>
      </c>
      <c r="D10">
        <v>3500</v>
      </c>
      <c r="E10">
        <v>3700</v>
      </c>
      <c r="F10">
        <v>10500</v>
      </c>
    </row>
    <row r="11" spans="1:6" x14ac:dyDescent="0.2">
      <c r="A11" t="s">
        <v>0</v>
      </c>
      <c r="B11" t="s">
        <v>8</v>
      </c>
      <c r="C11">
        <v>3825</v>
      </c>
      <c r="D11">
        <v>3725</v>
      </c>
      <c r="E11">
        <v>3750</v>
      </c>
      <c r="F11">
        <v>11300</v>
      </c>
    </row>
    <row r="12" spans="1:6" x14ac:dyDescent="0.2">
      <c r="A12" t="s">
        <v>0</v>
      </c>
      <c r="B12" t="s">
        <v>9</v>
      </c>
      <c r="C12">
        <v>8900</v>
      </c>
      <c r="D12">
        <v>10315</v>
      </c>
      <c r="E12">
        <v>5250</v>
      </c>
      <c r="F12">
        <v>24465</v>
      </c>
    </row>
    <row r="13" spans="1:6" x14ac:dyDescent="0.2">
      <c r="A13" t="s">
        <v>0</v>
      </c>
      <c r="B13" t="s">
        <v>10</v>
      </c>
      <c r="C13">
        <v>6250</v>
      </c>
      <c r="D13">
        <v>6000</v>
      </c>
      <c r="E13">
        <v>6500</v>
      </c>
      <c r="F13">
        <v>18750</v>
      </c>
    </row>
    <row r="14" spans="1:6" x14ac:dyDescent="0.2">
      <c r="A14" t="s">
        <v>0</v>
      </c>
      <c r="B14" t="s">
        <v>11</v>
      </c>
      <c r="C14">
        <v>8000</v>
      </c>
      <c r="D14">
        <v>8000</v>
      </c>
      <c r="E14">
        <v>8000</v>
      </c>
      <c r="F14">
        <v>24000</v>
      </c>
    </row>
    <row r="15" spans="1:6" x14ac:dyDescent="0.2">
      <c r="A15" t="s">
        <v>0</v>
      </c>
      <c r="B15" t="s">
        <v>12</v>
      </c>
      <c r="C15">
        <v>11500</v>
      </c>
      <c r="D15">
        <v>12500</v>
      </c>
      <c r="E15">
        <v>12500</v>
      </c>
      <c r="F15">
        <v>36500</v>
      </c>
    </row>
    <row r="16" spans="1:6" x14ac:dyDescent="0.2">
      <c r="A16" t="s">
        <v>0</v>
      </c>
      <c r="B16" t="s">
        <v>13</v>
      </c>
      <c r="C16">
        <v>12250</v>
      </c>
      <c r="D16">
        <v>12250</v>
      </c>
      <c r="E16">
        <v>12750</v>
      </c>
      <c r="F16">
        <v>37250</v>
      </c>
    </row>
    <row r="17" spans="1:6" x14ac:dyDescent="0.2">
      <c r="A17" t="s">
        <v>0</v>
      </c>
      <c r="B17" t="s">
        <v>14</v>
      </c>
      <c r="C17">
        <v>25000</v>
      </c>
      <c r="D17">
        <v>24000</v>
      </c>
      <c r="E17">
        <v>26390</v>
      </c>
      <c r="F17">
        <v>75390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EAST RECORDS</vt:lpstr>
      <vt:lpstr>RUN MACRO</vt:lpstr>
      <vt:lpstr>RUN WITH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Microsoft Office User</cp:lastModifiedBy>
  <dcterms:created xsi:type="dcterms:W3CDTF">2015-12-21T19:43:40Z</dcterms:created>
  <dcterms:modified xsi:type="dcterms:W3CDTF">2023-09-08T17:02:26Z</dcterms:modified>
</cp:coreProperties>
</file>